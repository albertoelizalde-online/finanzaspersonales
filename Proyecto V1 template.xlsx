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Objects="none"/>
  <mc:AlternateContent xmlns:mc="http://schemas.openxmlformats.org/markup-compatibility/2006">
    <mc:Choice Requires="x15">
      <x15ac:absPath xmlns:x15ac="http://schemas.microsoft.com/office/spreadsheetml/2010/11/ac" url="D:\Personal Alberto\UVM\Licenciatura Finanzas y Banca\Servicio Social\CEFODEH\Proyecto\"/>
    </mc:Choice>
  </mc:AlternateContent>
  <xr:revisionPtr revIDLastSave="0" documentId="13_ncr:1_{AD950603-3449-40BB-B4C6-8499FA870DDA}" xr6:coauthVersionLast="47" xr6:coauthVersionMax="47" xr10:uidLastSave="{00000000-0000-0000-0000-000000000000}"/>
  <bookViews>
    <workbookView xWindow="23265" yWindow="345" windowWidth="27795" windowHeight="18960" xr2:uid="{00000000-000D-0000-FFFF-FFFF00000000}"/>
  </bookViews>
  <sheets>
    <sheet name="TOC" sheetId="8" r:id="rId1"/>
    <sheet name="1. Datos Personales" sheetId="1" r:id="rId2"/>
    <sheet name="2. Ingresos" sheetId="2" r:id="rId3"/>
    <sheet name="3. Gastos" sheetId="3" r:id="rId4"/>
    <sheet name="4. Ahorro" sheetId="4" r:id="rId5"/>
    <sheet name="5. Ahorro Específico" sheetId="6" r:id="rId6"/>
    <sheet name="6. Estrategias por Edad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6" l="1"/>
  <c r="J4" i="6" s="1"/>
  <c r="G12" i="6" s="1"/>
  <c r="G15" i="6"/>
  <c r="F26" i="2"/>
  <c r="F27" i="2"/>
  <c r="F28" i="2"/>
  <c r="F29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G100" i="6"/>
  <c r="I100" i="6" s="1"/>
  <c r="G87" i="6"/>
  <c r="I87" i="6" s="1"/>
  <c r="L7" i="2"/>
  <c r="J80" i="3"/>
  <c r="H58" i="3"/>
  <c r="H59" i="3"/>
  <c r="H60" i="3"/>
  <c r="H56" i="3"/>
  <c r="H55" i="3"/>
  <c r="F70" i="3"/>
  <c r="G70" i="3" s="1"/>
  <c r="F71" i="3"/>
  <c r="G71" i="3" s="1"/>
  <c r="F72" i="3"/>
  <c r="G72" i="3" s="1"/>
  <c r="F73" i="3"/>
  <c r="G73" i="3" s="1"/>
  <c r="F74" i="3"/>
  <c r="G74" i="3" s="1"/>
  <c r="F75" i="3"/>
  <c r="G75" i="3" s="1"/>
  <c r="F76" i="3"/>
  <c r="G76" i="3" s="1"/>
  <c r="F77" i="3"/>
  <c r="G77" i="3" s="1"/>
  <c r="F78" i="3"/>
  <c r="G78" i="3" s="1"/>
  <c r="F79" i="3"/>
  <c r="G79" i="3" s="1"/>
  <c r="F69" i="3"/>
  <c r="G69" i="3" s="1"/>
  <c r="F68" i="3"/>
  <c r="G68" i="3" s="1"/>
  <c r="G62" i="3"/>
  <c r="I34" i="3" s="1"/>
  <c r="H54" i="3"/>
  <c r="H57" i="3"/>
  <c r="H51" i="3"/>
  <c r="H53" i="3"/>
  <c r="H50" i="3"/>
  <c r="H48" i="3"/>
  <c r="H24" i="3"/>
  <c r="H43" i="3"/>
  <c r="H44" i="3"/>
  <c r="H41" i="3"/>
  <c r="H40" i="3"/>
  <c r="H35" i="3"/>
  <c r="H36" i="3"/>
  <c r="H37" i="3"/>
  <c r="H15" i="3"/>
  <c r="H13" i="3"/>
  <c r="H12" i="3"/>
  <c r="H11" i="3"/>
  <c r="H10" i="3"/>
  <c r="H9" i="3"/>
  <c r="H26" i="3"/>
  <c r="G75" i="6"/>
  <c r="I75" i="6" s="1"/>
  <c r="G63" i="6"/>
  <c r="I63" i="6" s="1"/>
  <c r="G51" i="6"/>
  <c r="I51" i="6" s="1"/>
  <c r="G39" i="6"/>
  <c r="I39" i="6" s="1"/>
  <c r="G27" i="6"/>
  <c r="I27" i="6" s="1"/>
  <c r="H61" i="3"/>
  <c r="H52" i="3"/>
  <c r="H49" i="3"/>
  <c r="H47" i="3"/>
  <c r="H46" i="3"/>
  <c r="H45" i="3"/>
  <c r="H42" i="3"/>
  <c r="H39" i="3"/>
  <c r="H38" i="3"/>
  <c r="H34" i="3"/>
  <c r="H33" i="3"/>
  <c r="H32" i="3"/>
  <c r="H31" i="3"/>
  <c r="H30" i="3"/>
  <c r="H29" i="3"/>
  <c r="H28" i="3"/>
  <c r="H27" i="3"/>
  <c r="H25" i="3"/>
  <c r="H23" i="3"/>
  <c r="H22" i="3"/>
  <c r="H21" i="3"/>
  <c r="H20" i="3"/>
  <c r="H19" i="3"/>
  <c r="H18" i="3"/>
  <c r="H17" i="3"/>
  <c r="H16" i="3"/>
  <c r="H14" i="3"/>
  <c r="H8" i="3"/>
  <c r="H7" i="3"/>
  <c r="H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15" i="6" l="1"/>
  <c r="F87" i="3"/>
  <c r="H20" i="4" s="1"/>
  <c r="F86" i="3"/>
  <c r="H19" i="4" s="1"/>
  <c r="G97" i="6"/>
  <c r="G98" i="6" s="1"/>
  <c r="G84" i="6"/>
  <c r="G85" i="6" s="1"/>
  <c r="G72" i="6"/>
  <c r="G73" i="6" s="1"/>
  <c r="G60" i="6"/>
  <c r="G61" i="6" s="1"/>
  <c r="G48" i="6"/>
  <c r="G49" i="6" s="1"/>
  <c r="G36" i="6"/>
  <c r="G37" i="6" s="1"/>
  <c r="G24" i="6"/>
  <c r="G25" i="6" s="1"/>
  <c r="G13" i="6"/>
  <c r="I21" i="2"/>
  <c r="G80" i="3"/>
  <c r="I61" i="3"/>
  <c r="I60" i="3"/>
  <c r="I59" i="3"/>
  <c r="I58" i="3"/>
  <c r="I55" i="3"/>
  <c r="I56" i="3"/>
  <c r="H62" i="3"/>
  <c r="I57" i="3"/>
  <c r="I54" i="3"/>
  <c r="I51" i="3"/>
  <c r="I16" i="3"/>
  <c r="I49" i="3"/>
  <c r="I53" i="3"/>
  <c r="I50" i="3"/>
  <c r="I17" i="3"/>
  <c r="I48" i="3"/>
  <c r="I24" i="3"/>
  <c r="I44" i="3"/>
  <c r="I43" i="3"/>
  <c r="I14" i="3"/>
  <c r="I41" i="3"/>
  <c r="I40" i="3"/>
  <c r="I37" i="3"/>
  <c r="I35" i="3"/>
  <c r="I36" i="3"/>
  <c r="I52" i="3"/>
  <c r="I15" i="3"/>
  <c r="I11" i="3"/>
  <c r="I10" i="3"/>
  <c r="I9" i="3"/>
  <c r="I13" i="3"/>
  <c r="I12" i="3"/>
  <c r="H76" i="3"/>
  <c r="I76" i="3" s="1"/>
  <c r="H77" i="3"/>
  <c r="I77" i="3" s="1"/>
  <c r="H78" i="3"/>
  <c r="I78" i="3" s="1"/>
  <c r="I28" i="3"/>
  <c r="I30" i="3"/>
  <c r="I29" i="3"/>
  <c r="I31" i="3"/>
  <c r="I26" i="3"/>
  <c r="H79" i="3"/>
  <c r="I79" i="3" s="1"/>
  <c r="I18" i="3"/>
  <c r="I32" i="3"/>
  <c r="H8" i="4"/>
  <c r="I19" i="3"/>
  <c r="I38" i="3"/>
  <c r="I39" i="3"/>
  <c r="I22" i="3"/>
  <c r="I42" i="3"/>
  <c r="I45" i="3"/>
  <c r="H68" i="3"/>
  <c r="H70" i="3"/>
  <c r="I70" i="3" s="1"/>
  <c r="H71" i="3"/>
  <c r="I71" i="3" s="1"/>
  <c r="I23" i="3"/>
  <c r="H72" i="3"/>
  <c r="I72" i="3" s="1"/>
  <c r="I7" i="3"/>
  <c r="I25" i="3"/>
  <c r="I46" i="3"/>
  <c r="H73" i="3"/>
  <c r="I73" i="3" s="1"/>
  <c r="H69" i="3"/>
  <c r="I69" i="3" s="1"/>
  <c r="I8" i="3"/>
  <c r="I27" i="3"/>
  <c r="I47" i="3"/>
  <c r="H74" i="3"/>
  <c r="I74" i="3" s="1"/>
  <c r="J20" i="2"/>
  <c r="J16" i="2"/>
  <c r="J10" i="2"/>
  <c r="J12" i="2"/>
  <c r="H7" i="4"/>
  <c r="J9" i="2"/>
  <c r="J8" i="2"/>
  <c r="J19" i="2"/>
  <c r="J15" i="2"/>
  <c r="G26" i="2"/>
  <c r="J7" i="2"/>
  <c r="J18" i="2"/>
  <c r="J17" i="2"/>
  <c r="J14" i="2"/>
  <c r="J13" i="2"/>
  <c r="J11" i="2"/>
  <c r="G27" i="2"/>
  <c r="G28" i="2"/>
  <c r="G29" i="2"/>
  <c r="I20" i="3"/>
  <c r="I33" i="3"/>
  <c r="H75" i="3"/>
  <c r="I75" i="3" s="1"/>
  <c r="I21" i="3"/>
  <c r="I8" i="4" l="1"/>
  <c r="F32" i="4"/>
  <c r="F34" i="4"/>
  <c r="F36" i="4"/>
  <c r="F28" i="4"/>
  <c r="F27" i="4"/>
  <c r="F31" i="4"/>
  <c r="F29" i="4"/>
  <c r="F30" i="4"/>
  <c r="F33" i="4"/>
  <c r="F37" i="4"/>
  <c r="F26" i="4"/>
  <c r="F35" i="4"/>
  <c r="G28" i="4"/>
  <c r="H28" i="4" s="1"/>
  <c r="I28" i="4" s="1"/>
  <c r="G33" i="4"/>
  <c r="H33" i="4" s="1"/>
  <c r="I33" i="4" s="1"/>
  <c r="G27" i="4"/>
  <c r="H27" i="4" s="1"/>
  <c r="I27" i="4" s="1"/>
  <c r="G32" i="4"/>
  <c r="H32" i="4" s="1"/>
  <c r="I32" i="4" s="1"/>
  <c r="G34" i="4"/>
  <c r="H34" i="4" s="1"/>
  <c r="I34" i="4" s="1"/>
  <c r="G29" i="4"/>
  <c r="H29" i="4" s="1"/>
  <c r="I29" i="4" s="1"/>
  <c r="G30" i="4"/>
  <c r="H30" i="4" s="1"/>
  <c r="I30" i="4" s="1"/>
  <c r="G31" i="4"/>
  <c r="H31" i="4" s="1"/>
  <c r="I31" i="4" s="1"/>
  <c r="G35" i="4"/>
  <c r="H35" i="4" s="1"/>
  <c r="I35" i="4" s="1"/>
  <c r="G36" i="4"/>
  <c r="G37" i="4"/>
  <c r="H37" i="4" s="1"/>
  <c r="I37" i="4" s="1"/>
  <c r="G26" i="4"/>
  <c r="H9" i="4"/>
  <c r="I9" i="4" s="1"/>
  <c r="G21" i="4"/>
  <c r="G20" i="4"/>
  <c r="G87" i="3" s="1"/>
  <c r="G19" i="4"/>
  <c r="G86" i="3" s="1"/>
  <c r="H13" i="4"/>
  <c r="I68" i="3"/>
  <c r="H80" i="3"/>
  <c r="I62" i="3"/>
  <c r="H36" i="4" l="1"/>
  <c r="I36" i="4" s="1"/>
  <c r="H21" i="4"/>
  <c r="I21" i="4" s="1"/>
  <c r="F38" i="4"/>
  <c r="G38" i="4"/>
  <c r="H26" i="4"/>
  <c r="H14" i="4"/>
  <c r="J19" i="4"/>
  <c r="I19" i="4"/>
  <c r="J20" i="4"/>
  <c r="I20" i="4"/>
  <c r="J21" i="4" l="1"/>
  <c r="I26" i="4"/>
  <c r="J26" i="4"/>
  <c r="J27" i="4" s="1"/>
  <c r="J28" i="4" s="1"/>
  <c r="J29" i="4" s="1"/>
  <c r="J30" i="4" s="1"/>
  <c r="J31" i="4" s="1"/>
  <c r="J32" i="4" s="1"/>
  <c r="J33" i="4" s="1"/>
  <c r="J34" i="4" s="1"/>
  <c r="J35" i="4" s="1"/>
  <c r="J36" i="4" s="1"/>
  <c r="J37" i="4" s="1"/>
  <c r="J38" i="4" s="1"/>
  <c r="H38" i="4"/>
  <c r="I38" i="4" s="1"/>
</calcChain>
</file>

<file path=xl/sharedStrings.xml><?xml version="1.0" encoding="utf-8"?>
<sst xmlns="http://schemas.openxmlformats.org/spreadsheetml/2006/main" count="636" uniqueCount="373">
  <si>
    <t>🏠  ASESOR FINANCIERO DEL HOGAR</t>
  </si>
  <si>
    <t>Hoja 1 · Datos Personales del Hogar</t>
  </si>
  <si>
    <t>Complete los datos de cada integrante del hogar (máximo 8 personas). Las celdas en blanco son editables.</t>
  </si>
  <si>
    <t>Número de personas en el hogar:</t>
  </si>
  <si>
    <t>↑ Ingrese entre 1 y 8</t>
  </si>
  <si>
    <t>Nombre Completo</t>
  </si>
  <si>
    <t>Parentesco / Rol</t>
  </si>
  <si>
    <t>Fecha de Nacimiento</t>
  </si>
  <si>
    <t>Edad</t>
  </si>
  <si>
    <t>Ocupación / Actividad</t>
  </si>
  <si>
    <t>Titular / Jefe de hogar</t>
  </si>
  <si>
    <t>Hijo/a 1</t>
  </si>
  <si>
    <t>Hijo/a 2</t>
  </si>
  <si>
    <t>Hijo/a 3</t>
  </si>
  <si>
    <t>Otro familiar 1</t>
  </si>
  <si>
    <t>Otro familiar 2</t>
  </si>
  <si>
    <t>Otro familiar 3</t>
  </si>
  <si>
    <t>Información General del Hogar</t>
  </si>
  <si>
    <t>País / Ciudad de residencia:</t>
  </si>
  <si>
    <t>Tipo de vivienda:</t>
  </si>
  <si>
    <t>Estrato socioeconómico:</t>
  </si>
  <si>
    <t>Correo electrónico de contacto:</t>
  </si>
  <si>
    <t>Teléfono de contacto:</t>
  </si>
  <si>
    <t>Fecha de elaboración del plan:</t>
  </si>
  <si>
    <t>NOTA: Este asesor financiero es una herramienta de planificación personal. Los datos ingresados son confidenciales y de uso exclusivo del hogar.</t>
  </si>
  <si>
    <t>💰  REGISTRO DE INGRESOS DEL HOGAR</t>
  </si>
  <si>
    <t>Registre todos los ingresos mensuales de cada integrante del hogar</t>
  </si>
  <si>
    <t>Fuente de Ingreso / Integrante</t>
  </si>
  <si>
    <t>Tipo de Ingreso</t>
  </si>
  <si>
    <t>Frecuencia</t>
  </si>
  <si>
    <t>Monto Mensual</t>
  </si>
  <si>
    <t>Monto Anual</t>
  </si>
  <si>
    <t>% del Total</t>
  </si>
  <si>
    <t>Observaciones</t>
  </si>
  <si>
    <t>Titular – Salario / Sueldo fijo</t>
  </si>
  <si>
    <t>Laboral dependiente</t>
  </si>
  <si>
    <t>Mensual</t>
  </si>
  <si>
    <t>Titular – Ingresos independientes</t>
  </si>
  <si>
    <t>Laboral independiente</t>
  </si>
  <si>
    <t>Variable</t>
  </si>
  <si>
    <t>Titular – Horas extra / Bonos</t>
  </si>
  <si>
    <t>Ocasional</t>
  </si>
  <si>
    <t>Cónyuge / Pareja – Salario fijo</t>
  </si>
  <si>
    <t>Cónyuge / Pareja – Ingresos independientes</t>
  </si>
  <si>
    <t>Hijo/a 1 – Ingresos</t>
  </si>
  <si>
    <t>Hijo/a 2 – Ingresos</t>
  </si>
  <si>
    <t>Otro familiar – Ingresos</t>
  </si>
  <si>
    <t>Arriendos / Alquileres</t>
  </si>
  <si>
    <t>Pasivo</t>
  </si>
  <si>
    <t>Dividendos / Inversiones</t>
  </si>
  <si>
    <t>Pensión / Jubilación</t>
  </si>
  <si>
    <t>Transferencias / Subsidios</t>
  </si>
  <si>
    <t>Otros ingresos 1</t>
  </si>
  <si>
    <t>Otro</t>
  </si>
  <si>
    <t>Otros ingresos 2</t>
  </si>
  <si>
    <t>TOTAL INGRESOS DEL HOGAR</t>
  </si>
  <si>
    <t>Resumen de Ingresos</t>
  </si>
  <si>
    <t>Categoría</t>
  </si>
  <si>
    <t>% Participación</t>
  </si>
  <si>
    <t>Observación</t>
  </si>
  <si>
    <t>Ingresos Laborales Dependientes</t>
  </si>
  <si>
    <t>Salarios fijos</t>
  </si>
  <si>
    <t>Freelance, negocios</t>
  </si>
  <si>
    <t>Ingresos Pasivos</t>
  </si>
  <si>
    <t>Arriendos, dividendos</t>
  </si>
  <si>
    <t>Subsidios, otros</t>
  </si>
  <si>
    <t>📊  REGISTRO DE GASTOS DEL HOGAR</t>
  </si>
  <si>
    <t>Registre todos los gastos mensuales del hogar por categoría</t>
  </si>
  <si>
    <t>Categoría de Gasto</t>
  </si>
  <si>
    <t>Subcategoría / Detalle</t>
  </si>
  <si>
    <t>Tipo</t>
  </si>
  <si>
    <t>VIVIENDA</t>
  </si>
  <si>
    <t>Arriendo / Cuota hipoteca</t>
  </si>
  <si>
    <t>Fijo</t>
  </si>
  <si>
    <t>Administración / Cuotas HOA</t>
  </si>
  <si>
    <t>ALIMENTACIÓN</t>
  </si>
  <si>
    <t>Mercado / Supermercado</t>
  </si>
  <si>
    <t>Restaurantes / Comidas fuera</t>
  </si>
  <si>
    <t>Domicilios / Delivery</t>
  </si>
  <si>
    <t>TRANSPORTE</t>
  </si>
  <si>
    <t>Gasolina / Combustible</t>
  </si>
  <si>
    <t>Transporte público / Taxi / App</t>
  </si>
  <si>
    <t>Seguro vehicular</t>
  </si>
  <si>
    <t>SALUD</t>
  </si>
  <si>
    <t>Medicina prepagada / Seguro salud</t>
  </si>
  <si>
    <t>Medicamentos / Farmacia</t>
  </si>
  <si>
    <t>Consultas médicas / Especialistas</t>
  </si>
  <si>
    <t>EDUCACIÓN</t>
  </si>
  <si>
    <t>Colegios / Universidades / Matrículas</t>
  </si>
  <si>
    <t>Útiles / Libros / Materiales</t>
  </si>
  <si>
    <t>Cursos / Capacitaciones</t>
  </si>
  <si>
    <t>ROPA Y CALZADO</t>
  </si>
  <si>
    <t>Vestuario adultos</t>
  </si>
  <si>
    <t>Vestuario niños</t>
  </si>
  <si>
    <t>ENTRETENIMIENTO</t>
  </si>
  <si>
    <t>Streaming (Netflix, Spotify, etc.)</t>
  </si>
  <si>
    <t>Salidas / Cine / Eventos</t>
  </si>
  <si>
    <t>Vacaciones / Viajes</t>
  </si>
  <si>
    <t>DEUDAS / CRÉDITOS</t>
  </si>
  <si>
    <t>Cuota tarjeta de crédito</t>
  </si>
  <si>
    <t>Crédito de consumo / Personal</t>
  </si>
  <si>
    <t>Otros créditos</t>
  </si>
  <si>
    <t>SEGUROS</t>
  </si>
  <si>
    <t>Seguro de vida</t>
  </si>
  <si>
    <t>Seguro hogar / Contenidos</t>
  </si>
  <si>
    <t>CUIDADO PERSONAL</t>
  </si>
  <si>
    <t>MASCOTAS</t>
  </si>
  <si>
    <t>GASTOS VARIOS</t>
  </si>
  <si>
    <t>Regalos / Donaciones</t>
  </si>
  <si>
    <t>TOTAL GASTOS DEL HOGAR</t>
  </si>
  <si>
    <t>Resumen por Categoría Principal</t>
  </si>
  <si>
    <t>Total Mensual</t>
  </si>
  <si>
    <t>Total Anual</t>
  </si>
  <si>
    <t>Semáforo</t>
  </si>
  <si>
    <t>Recomendación %</t>
  </si>
  <si>
    <t>🏦  PLAN DE AHORRO DEL HOGAR</t>
  </si>
  <si>
    <t>Monitoree su capacidad de ahorro y establezca metas mensuales</t>
  </si>
  <si>
    <t>Resumen Financiero Mensual</t>
  </si>
  <si>
    <t>Total Ingresos Mensuales</t>
  </si>
  <si>
    <t>Total Gastos Mensuales</t>
  </si>
  <si>
    <t>Capacidad de Ahorro Bruta</t>
  </si>
  <si>
    <t>Meta de Ahorro Mensual (ingrese %)</t>
  </si>
  <si>
    <t>Meta de Ahorro en $ (calculado)</t>
  </si>
  <si>
    <t>Diferencia (Ahorro real vs Meta)</t>
  </si>
  <si>
    <t>% Recomendado</t>
  </si>
  <si>
    <t>$ Recomendado</t>
  </si>
  <si>
    <t>$ Real</t>
  </si>
  <si>
    <t>Diferencia</t>
  </si>
  <si>
    <t>Estado</t>
  </si>
  <si>
    <t>Deseos (entretenimiento, ropa, extras)</t>
  </si>
  <si>
    <t>Ahorro e inversión</t>
  </si>
  <si>
    <t>Registro Mensual de Ahorro – Año en Curso</t>
  </si>
  <si>
    <t>Mes</t>
  </si>
  <si>
    <t>Ingresos</t>
  </si>
  <si>
    <t>Gastos</t>
  </si>
  <si>
    <t>Ahorro Real</t>
  </si>
  <si>
    <t>% Ahorro</t>
  </si>
  <si>
    <t>Acumulado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</si>
  <si>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</si>
  <si>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</si>
  <si>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</si>
  <si>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</si>
  <si>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</si>
  <si>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</si>
  <si>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</si>
  <si>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</si>
  <si>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</si>
  <si>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</si>
  <si>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</si>
  <si>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</si>
  <si>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ANUAL</t>
  </si>
  <si>
    <t>🎯  AHORRO PARA METAS ESPECÍFICAS</t>
  </si>
  <si>
    <t>META 1: Fondo de Emergencia (3-6 meses de gastos)</t>
  </si>
  <si>
    <t>Nombre / Descripción de la meta:</t>
  </si>
  <si>
    <t>Fondo de Emergencia (3-6 meses de gastos)</t>
  </si>
  <si>
    <t>Monto total requerido ($):</t>
  </si>
  <si>
    <t>Fecha límite para alcanzar la meta:</t>
  </si>
  <si>
    <t>DD/MM/YYYY</t>
  </si>
  <si>
    <t>Meses restantes para la meta:</t>
  </si>
  <si>
    <t>Ahorro mensual necesario ($):</t>
  </si>
  <si>
    <t>Ahorro ya acumulado ($):</t>
  </si>
  <si>
    <t>Porcentaje alcanzado (%):</t>
  </si>
  <si>
    <t>Ahorro mensual que destina ($):</t>
  </si>
  <si>
    <t>META 2: Vacaciones / Viaje familiar</t>
  </si>
  <si>
    <t>Vacaciones / Viaje familiar</t>
  </si>
  <si>
    <t>META 3: Compra de vehículo</t>
  </si>
  <si>
    <t>Compra de vehículo</t>
  </si>
  <si>
    <t>META 4: Cuota inicial vivienda</t>
  </si>
  <si>
    <t>Cuota inicial vivienda</t>
  </si>
  <si>
    <t>META 5: Educación universitaria hijo/a</t>
  </si>
  <si>
    <t>Educación universitaria hijo/a</t>
  </si>
  <si>
    <t>META 6: Jubilación / Retiro anticipado</t>
  </si>
  <si>
    <t>Jubilación / Retiro anticipado</t>
  </si>
  <si>
    <t>📈  ESTRATEGIAS FINANCIERAS POR ETAPA DE VIDA</t>
  </si>
  <si>
    <t>Guía de estrategias financieras personalizadas según la edad de cada integrante del hogar</t>
  </si>
  <si>
    <t>🎓  15 – 25 AÑOS  ·  Etapa de Formación y Primeros Pasos Financieros</t>
  </si>
  <si>
    <t>En esta etapa la persona se encuentra en proceso de formación académica o inicio de vida laboral. Los ingresos suelen ser bajos o inexistentes, pero es el momento ideal para construir hábitos financieros sólidos que determinarán el bienestar económico futuro. El tiempo es el mayor activo disponible.</t>
  </si>
  <si>
    <t>🎯 Objetivos Principales</t>
  </si>
  <si>
    <t>⚡ Estrategias Clave</t>
  </si>
  <si>
    <t>• Abrir la primera cuenta de ahorros y mantenerla activa</t>
  </si>
  <si>
    <t>▶ Regla del 10%: Ahorrar mínimo el 10% de cualquier ingreso recibido, sin excepción.</t>
  </si>
  <si>
    <t>• Evitar deudas de consumo (tarjetas de crédito sin respaldo)</t>
  </si>
  <si>
    <t>▶ Fondo de emergencia inicial: Acumular entre 1 y 3 meses de gastos básicos como colchón de seguridad.</t>
  </si>
  <si>
    <t>• Iniciar con pequeñas inversiones en fondos de bajo riesgo</t>
  </si>
  <si>
    <t>▶ Educación financiera: Leer al menos 2 libros de finanzas personales por año (ej: Padre Rico Padre Pobre, El Hombre Más Rico de Babilonia).</t>
  </si>
  <si>
    <t>• Construir un historial crediticio responsable</t>
  </si>
  <si>
    <t>▶ Evitar deuda mala: No adquirir créditos de consumo para bienes que se deprecian (ropa, electrónicos, etc.).</t>
  </si>
  <si>
    <t>• Establecer el hábito del ahorro desde el primer ingreso</t>
  </si>
  <si>
    <t>▶ Primer portafolio: Explorar fondos de inversión indexados (ETFs) con montos pequeños desde $10-$50/mes.</t>
  </si>
  <si>
    <t>• Invertir en educación y desarrollo de habilidades</t>
  </si>
  <si>
    <t>▶ Presupuesto básico: Aplicar la regla 50/30/20: 50% necesidades, 30% deseos, 20% ahorro.</t>
  </si>
  <si>
    <t>📊 Indicadores Clave de Salud Financiera</t>
  </si>
  <si>
    <t>Indicador</t>
  </si>
  <si>
    <t>Meta Recomendada</t>
  </si>
  <si>
    <t>Tasa de ahorro mínima</t>
  </si>
  <si>
    <t>10% de ingresos</t>
  </si>
  <si>
    <t>Fondo de emergencia</t>
  </si>
  <si>
    <t>1-3 meses de gastos</t>
  </si>
  <si>
    <t>Deuda total</t>
  </si>
  <si>
    <t>&lt; 10% de ingresos</t>
  </si>
  <si>
    <t>Inversión mensual</t>
  </si>
  <si>
    <t>Desde $10 USD/mes</t>
  </si>
  <si>
    <t>⚠️ Errores Comunes a Evitar</t>
  </si>
  <si>
    <t>✗  Gastar todo el primer sueldo en bienes de consumo</t>
  </si>
  <si>
    <t>✗  No tener cuenta de ahorros propia</t>
  </si>
  <si>
    <t>✗  Pedir préstamos a familiares sin plan de pago</t>
  </si>
  <si>
    <t>✗  Ignorar la importancia del historial crediticio</t>
  </si>
  <si>
    <t>💼  25 – 35 AÑOS  ·  Etapa de Consolidación y Construcción de Patrimonio</t>
  </si>
  <si>
    <t>Esta es la década más importante para la construcción de riqueza. Los ingresos comienzan a estabilizarse, se forman hogares, se adquieren primeras propiedades y se inician familias. Las decisiones financieras tomadas en esta etapa tienen un impacto exponencial gracias al interés compuesto. Es el momento de maximizar el ahorro e inversión.</t>
  </si>
  <si>
    <t>• Consolidar el fondo de emergencia (3-6 meses de gastos)</t>
  </si>
  <si>
    <t>▶ Regla del 20-30%: Ahorrar e invertir entre el 20% y 30% de los ingresos totales.</t>
  </si>
  <si>
    <t>• Iniciar o fortalecer el plan de pensión/jubilación</t>
  </si>
  <si>
    <t>▶ Pensión voluntaria: Maximizar aportes a fondos de pensión voluntaria o cuentas de ahorro para el retiro.</t>
  </si>
  <si>
    <t>• Considerar la compra de vivienda propia</t>
  </si>
  <si>
    <t>▶ Diversificación: Invertir en acciones, bonos, bienes raíces y fondos indexados para reducir el riesgo.</t>
  </si>
  <si>
    <t>• Diversificar las fuentes de ingreso</t>
  </si>
  <si>
    <t>▶ Seguro de vida: Adquirir seguro de vida y de invalidez para proteger a la familia.</t>
  </si>
  <si>
    <t>• Proteger el patrimonio con seguros adecuados</t>
  </si>
  <si>
    <t>▶ Deuda estratégica: Usar deuda únicamente para activos que se valoricen (vivienda, educación, negocio).</t>
  </si>
  <si>
    <t>• Planificar financieramente la llegada de hijos</t>
  </si>
  <si>
    <t>▶ Ingreso pasivo: Comenzar a construir fuentes de ingreso pasivo: arriendos, dividendos, regalías.</t>
  </si>
  <si>
    <t>20-30% de ingresos</t>
  </si>
  <si>
    <t>3-6 meses de gastos</t>
  </si>
  <si>
    <t>&lt; 30% de ingresos</t>
  </si>
  <si>
    <t>Patrimonio neto</t>
  </si>
  <si>
    <t>1-2x ingreso anual</t>
  </si>
  <si>
    <t>✗  Posponer el inicio del plan de pensión</t>
  </si>
  <si>
    <t>✗  Adquirir vivienda sin análisis financiero previo</t>
  </si>
  <si>
    <t>✗  No tener seguro de vida con dependientes a cargo</t>
  </si>
  <si>
    <t>✗  Mantener deudas de consumo de alto interés</t>
  </si>
  <si>
    <t>🚀  35 – 45 AÑOS  ·  Etapa de Aceleración y Maximización del Patrimonio</t>
  </si>
  <si>
    <t>En esta etapa los ingresos suelen estar en su punto más alto de la carrera profesional. Las responsabilidades familiares son mayores (hijos en edad escolar/universitaria, padres mayores), pero también la capacidad de ahorro e inversión. Es el momento de acelerar la acumulación de patrimonio y preparar el terreno para una jubilación cómoda.</t>
  </si>
  <si>
    <t>• Acelerar la acumulación de activos productivos</t>
  </si>
  <si>
    <t>▶ Regla del 30%+: Ahorrar e invertir mínimo el 30% de los ingresos; incrementar si es posible.</t>
  </si>
  <si>
    <t>• Planificar la educación universitaria de los hijos</t>
  </si>
  <si>
    <t>▶ Portafolio balanceado: Mantener 60-70% en activos de crecimiento (acciones, bienes raíces) y 30-40% en activos estables.</t>
  </si>
  <si>
    <t>• Reducir deudas hipotecarias y de consumo</t>
  </si>
  <si>
    <t>▶ Fondo universitario: Crear un fondo específico para la educación universitaria de los hijos con 10-15 años de horizonte.</t>
  </si>
  <si>
    <t>• Maximizar aportes a fondos de pensión</t>
  </si>
  <si>
    <t>▶ Pago acelerado hipoteca: Realizar pagos adicionales a la hipoteca para reducir el plazo y los intereses totales.</t>
  </si>
  <si>
    <t>• Diversificar en bienes raíces e inversiones internacionales</t>
  </si>
  <si>
    <t>▶ Planificación fiscal: Optimizar la carga tributaria mediante instrumentos de ahorro con beneficios fiscales.</t>
  </si>
  <si>
    <t>• Revisar y actualizar coberturas de seguros</t>
  </si>
  <si>
    <t>▶ Negocios propios: Evaluar la creación o inversión en negocios propios para generar ingresos adicionales.</t>
  </si>
  <si>
    <t>30%+ de ingresos</t>
  </si>
  <si>
    <t>6-12 meses de gastos</t>
  </si>
  <si>
    <t>&lt; 20% de ingresos</t>
  </si>
  <si>
    <t>3-5x ingreso anual</t>
  </si>
  <si>
    <t>✗  Aumentar el nivel de vida al mismo ritmo que los ingresos</t>
  </si>
  <si>
    <t>✗  No tener testamento ni planeación patrimonial</t>
  </si>
  <si>
    <t>✗  Descuidar el fondo de pensión por gastos de consumo</t>
  </si>
  <si>
    <t>✗  Concentrar todo el patrimonio en un solo activo</t>
  </si>
  <si>
    <t>🏆  45 – 60 AÑOS  ·  Etapa de Preservación y Preparación para el Retiro</t>
  </si>
  <si>
    <t>Esta etapa marca la transición hacia el retiro. El horizonte de inversión se acorta y la prioridad cambia de acumulación a preservación y optimización del patrimonio. Es fundamental reducir el riesgo del portafolio, consolidar los activos y planificar detalladamente los ingresos para la jubilación. La salud financiera y física son igualmente importantes.</t>
  </si>
  <si>
    <t>• Consolidar y proteger el patrimonio acumulado</t>
  </si>
  <si>
    <t>▶ Portafolio conservador: Migrar gradualmente hacia activos de menor riesgo: bonos, CDTs, fondos de renta fija (60-70% del portafolio).</t>
  </si>
  <si>
    <t>• Planificar la fecha y condiciones del retiro</t>
  </si>
  <si>
    <t>▶ Cero deudas al retiro: Eliminar todas las deudas antes de los 60 años para reducir la carga financiera en el retiro.</t>
  </si>
  <si>
    <t>• Reducir deudas a cero antes del retiro</t>
  </si>
  <si>
    <t>▶ Ingreso pasivo garantizado: Consolidar fuentes de ingreso pasivo: arriendos, dividendos, pensión, que cubran el 100% de los gastos.</t>
  </si>
  <si>
    <t>• Maximizar los aportes finales al fondo de pensión</t>
  </si>
  <si>
    <t>▶ Planificación sucesoral: Actualizar testamento, designar beneficiarios y estructurar la herencia de manera eficiente.</t>
  </si>
  <si>
    <t>• Establecer fuentes de ingreso pasivo para el retiro</t>
  </si>
  <si>
    <t>▶ Salud como inversión: Invertir en salud preventiva para reducir gastos médicos futuros.</t>
  </si>
  <si>
    <t>• Planificación sucesoral y testamento actualizado</t>
  </si>
  <si>
    <t>▶ Simulación del retiro: Calcular exactamente cuánto necesita para vivir en el retiro y verificar si el patrimonio es suficiente.</t>
  </si>
  <si>
    <t>25-35% de ingresos</t>
  </si>
  <si>
    <t>12 meses de gastos</t>
  </si>
  <si>
    <t>&lt; 10% de ingresos (meta: 0%)</t>
  </si>
  <si>
    <t>8-12x ingreso anual</t>
  </si>
  <si>
    <t>✗  Asumir riesgos excesivos en inversiones cerca del retiro</t>
  </si>
  <si>
    <t>✗  No tener un plan claro de ingresos para la jubilación</t>
  </si>
  <si>
    <t>✗  Descuidar la planificación sucesoral</t>
  </si>
  <si>
    <t>✗  Subestimar los gastos de salud en el retiro</t>
  </si>
  <si>
    <t>Tabla Comparativa de Estrategias por Etapa de Vida</t>
  </si>
  <si>
    <t>Criterio</t>
  </si>
  <si>
    <t>15-25 años</t>
  </si>
  <si>
    <t>25-35 años</t>
  </si>
  <si>
    <t>35-45 años</t>
  </si>
  <si>
    <t>45-60 años</t>
  </si>
  <si>
    <t>Prioridad principal</t>
  </si>
  <si>
    <t>Hábitos y educación</t>
  </si>
  <si>
    <t>Construcción patrimonio</t>
  </si>
  <si>
    <t>Aceleración activos</t>
  </si>
  <si>
    <t>Preservación y retiro</t>
  </si>
  <si>
    <t>Tasa de ahorro</t>
  </si>
  <si>
    <t>≥ 10%</t>
  </si>
  <si>
    <t>20-30%</t>
  </si>
  <si>
    <t>30%+</t>
  </si>
  <si>
    <t>25-35%</t>
  </si>
  <si>
    <t>Fondo emergencia</t>
  </si>
  <si>
    <t>1-3 meses</t>
  </si>
  <si>
    <t>3-6 meses</t>
  </si>
  <si>
    <t>6-12 meses</t>
  </si>
  <si>
    <t>12 meses</t>
  </si>
  <si>
    <t>Riesgo inversión</t>
  </si>
  <si>
    <t>Alto (tiempo a favor)</t>
  </si>
  <si>
    <t>Medio-Alto</t>
  </si>
  <si>
    <t>Medio</t>
  </si>
  <si>
    <t>Bajo-Medio</t>
  </si>
  <si>
    <t>Deuda máxima</t>
  </si>
  <si>
    <t>&lt; 10% ingresos</t>
  </si>
  <si>
    <t>&lt; 30% ingresos</t>
  </si>
  <si>
    <t>&lt; 20% ingresos</t>
  </si>
  <si>
    <t>&lt; 10% (meta 0%)</t>
  </si>
  <si>
    <t>Patrimonio meta</t>
  </si>
  <si>
    <t>Iniciar desde $0</t>
  </si>
  <si>
    <t>Opcional</t>
  </si>
  <si>
    <t>Obligatorio</t>
  </si>
  <si>
    <t>Obligatorio + salud</t>
  </si>
  <si>
    <t>Pensión voluntaria</t>
  </si>
  <si>
    <t>Iniciar pequeño</t>
  </si>
  <si>
    <t>Maximizar aportes</t>
  </si>
  <si>
    <t>Aportes finales</t>
  </si>
  <si>
    <t>Bienes raíces</t>
  </si>
  <si>
    <t>Aprender / Ahorrar</t>
  </si>
  <si>
    <t>Primera propiedad</t>
  </si>
  <si>
    <t>Diversificar</t>
  </si>
  <si>
    <t>Consolidar</t>
  </si>
  <si>
    <t>Inversión principal</t>
  </si>
  <si>
    <t>ETFs / Fondos índice</t>
  </si>
  <si>
    <t>Acciones + Bienes raíces</t>
  </si>
  <si>
    <t>Portafolio diversificado</t>
  </si>
  <si>
    <t>Renta fija + dividendos</t>
  </si>
  <si>
    <t xml:space="preserve"> Pareja / Conyuge</t>
  </si>
  <si>
    <t>Ingresos Independientes</t>
  </si>
  <si>
    <t>Otros</t>
  </si>
  <si>
    <t>Gimnasio, Alberca, Cancha</t>
  </si>
  <si>
    <t>Agua</t>
  </si>
  <si>
    <t>Luz</t>
  </si>
  <si>
    <t>Gas</t>
  </si>
  <si>
    <t>Cable</t>
  </si>
  <si>
    <t>Telefonia</t>
  </si>
  <si>
    <t>Internet / Telefonia</t>
  </si>
  <si>
    <t>Mantenimiento</t>
  </si>
  <si>
    <t>Reparaciones</t>
  </si>
  <si>
    <t>Seguro de salud</t>
  </si>
  <si>
    <t>Salidas restaurantes</t>
  </si>
  <si>
    <t>Salidas cine</t>
  </si>
  <si>
    <t>Salidas plazas o parques</t>
  </si>
  <si>
    <t>Credito de moto</t>
  </si>
  <si>
    <t>Credito de auto</t>
  </si>
  <si>
    <t xml:space="preserve">Peluquería </t>
  </si>
  <si>
    <t>Estética</t>
  </si>
  <si>
    <t>Veterinario</t>
  </si>
  <si>
    <t>Alimentación</t>
  </si>
  <si>
    <t>Medicamentos</t>
  </si>
  <si>
    <t>Gasto Dominik</t>
  </si>
  <si>
    <t>Gasto Abuelita</t>
  </si>
  <si>
    <t>Abogados</t>
  </si>
  <si>
    <t>Otros gastos</t>
  </si>
  <si>
    <t>Regla de: 50 / 30 / 20</t>
  </si>
  <si>
    <t>Necesidades (vivienda, comida, servicios, etc…)</t>
  </si>
  <si>
    <t>Horas de Trabajo</t>
  </si>
  <si>
    <t>Salario por Hora</t>
  </si>
  <si>
    <t>Hoy (dd/mm/yyyy)</t>
  </si>
  <si>
    <t>META 7: Comprar Computadora</t>
  </si>
  <si>
    <t>META 8: Compra de Sala / Comedor</t>
  </si>
  <si>
    <t>Defina hasta 8 metas de ahorro específicas con seguimiento mensual</t>
  </si>
  <si>
    <t xml:space="preserve">Necesidades </t>
  </si>
  <si>
    <t>Deseos</t>
  </si>
  <si>
    <t>Necesidades VS Deseos</t>
  </si>
  <si>
    <t>Categorias</t>
  </si>
  <si>
    <t>Total</t>
  </si>
  <si>
    <t>Propuesto</t>
  </si>
  <si>
    <t>Ahorro Mensual</t>
  </si>
  <si>
    <t>By: Alberto Elizalde</t>
  </si>
  <si>
    <t>🏠  TABLA DE CONTENIDOS</t>
  </si>
  <si>
    <t>Hoja 2 · Ingresos</t>
  </si>
  <si>
    <t>Hoja 3 · Gastos</t>
  </si>
  <si>
    <t>Hoja 4 · Ahorro</t>
  </si>
  <si>
    <t>Hoja 5 · Ahorro Especifico</t>
  </si>
  <si>
    <t>Hoja 6 · Estrategias por 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</si>
</sst>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5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b/>
      <sz val="13"/>
      <color rgb="FFFFFFFF"/>
      <name val="Calibri"/>
      <family val="2"/>
    </font>
    <font>
      <i/>
      <sz val="10"/>
      <color rgb="FF7F6000"/>
      <name val="Calibri"/>
      <family val="2"/>
    </font>
    <font>
      <b/>
      <sz val="11"/>
      <color rgb="FF000000"/>
      <name val="Calibri"/>
      <family val="2"/>
    </font>
    <font>
      <b/>
      <sz val="13"/>
      <color rgb="FF1F3864"/>
      <name val="Calibri"/>
      <family val="2"/>
    </font>
    <font>
      <i/>
      <sz val="10"/>
      <color rgb="FF595959"/>
      <name val="Calibri"/>
      <family val="2"/>
    </font>
    <font>
      <b/>
      <sz val="11"/>
      <color rgb="FFFFFFFF"/>
      <name val="Calibri"/>
      <family val="2"/>
    </font>
    <font>
      <b/>
      <sz val="12"/>
      <color rgb="FFFFFFFF"/>
      <name val="Calibri"/>
      <family val="2"/>
    </font>
    <font>
      <b/>
      <sz val="18"/>
      <color rgb="FFFFFFFF"/>
      <name val="Calibri"/>
      <family val="2"/>
    </font>
    <font>
      <sz val="10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FF7F6000"/>
      <name val="Calibri"/>
      <family val="2"/>
    </font>
    <font>
      <b/>
      <sz val="10"/>
      <color rgb="FF375623"/>
      <name val="Calibri"/>
      <family val="2"/>
    </font>
    <font>
      <i/>
      <sz val="10"/>
      <color rgb="FF375623"/>
      <name val="Calibri"/>
      <family val="2"/>
    </font>
    <font>
      <b/>
      <sz val="10"/>
      <color rgb="FF1F3864"/>
      <name val="Calibri"/>
      <family val="2"/>
    </font>
    <font>
      <i/>
      <sz val="10"/>
      <color rgb="FF1F3864"/>
      <name val="Calibri"/>
      <family val="2"/>
    </font>
    <font>
      <b/>
      <sz val="10"/>
      <color rgb="FF843C0C"/>
      <name val="Calibri"/>
      <family val="2"/>
    </font>
    <font>
      <i/>
      <sz val="10"/>
      <color rgb="FF843C0C"/>
      <name val="Calibri"/>
      <family val="2"/>
    </font>
    <font>
      <b/>
      <sz val="10"/>
      <color rgb="FF4A235A"/>
      <name val="Calibri"/>
      <family val="2"/>
    </font>
    <font>
      <i/>
      <sz val="10"/>
      <color rgb="FF4A235A"/>
      <name val="Calibri"/>
      <family val="2"/>
    </font>
    <font>
      <b/>
      <sz val="10"/>
      <color rgb="FF660000"/>
      <name val="Calibri"/>
      <family val="2"/>
    </font>
    <font>
      <i/>
      <sz val="10"/>
      <color rgb="FF660000"/>
      <name val="Calibri"/>
      <family val="2"/>
    </font>
    <font>
      <b/>
      <sz val="10"/>
      <color rgb="FF274E13"/>
      <name val="Calibri"/>
      <family val="2"/>
    </font>
    <font>
      <i/>
      <sz val="10"/>
      <color rgb="FF274E13"/>
      <name val="Calibri"/>
      <family val="2"/>
    </font>
    <font>
      <b/>
      <sz val="10"/>
      <color rgb="FFCC0000"/>
      <name val="Calibri"/>
      <family val="2"/>
    </font>
    <font>
      <i/>
      <sz val="10"/>
      <color rgb="FFCC0000"/>
      <name val="Calibri"/>
      <family val="2"/>
    </font>
    <font>
      <b/>
      <sz val="10"/>
      <color rgb="FF1C4587"/>
      <name val="Calibri"/>
      <family val="2"/>
    </font>
    <font>
      <i/>
      <sz val="10"/>
      <color rgb="FF1C4587"/>
      <name val="Calibri"/>
      <family val="2"/>
    </font>
    <font>
      <b/>
      <sz val="10"/>
      <color rgb="FF783F04"/>
      <name val="Calibri"/>
      <family val="2"/>
    </font>
    <font>
      <i/>
      <sz val="10"/>
      <color rgb="FF783F04"/>
      <name val="Calibri"/>
      <family val="2"/>
    </font>
    <font>
      <b/>
      <sz val="10"/>
      <color rgb="FF20124D"/>
      <name val="Calibri"/>
      <family val="2"/>
    </font>
    <font>
      <i/>
      <sz val="10"/>
      <color rgb="FF20124D"/>
      <name val="Calibri"/>
      <family val="2"/>
    </font>
    <font>
      <b/>
      <sz val="10"/>
      <color rgb="FF434343"/>
      <name val="Calibri"/>
      <family val="2"/>
    </font>
    <font>
      <i/>
      <sz val="10"/>
      <color rgb="FF434343"/>
      <name val="Calibri"/>
      <family val="2"/>
    </font>
    <font>
      <b/>
      <sz val="11"/>
      <color rgb="FF375623"/>
      <name val="Calibri"/>
      <family val="2"/>
    </font>
    <font>
      <b/>
      <sz val="13"/>
      <color rgb="FF000000"/>
      <name val="Calibri"/>
      <family val="2"/>
    </font>
    <font>
      <b/>
      <sz val="11"/>
      <color rgb="FF843C0C"/>
      <name val="Calibri"/>
      <family val="2"/>
    </font>
    <font>
      <b/>
      <sz val="11"/>
      <color rgb="FF7F6000"/>
      <name val="Calibri"/>
      <family val="2"/>
    </font>
    <font>
      <b/>
      <sz val="11"/>
      <color rgb="FF1F3864"/>
      <name val="Calibri"/>
      <family val="2"/>
    </font>
    <font>
      <b/>
      <sz val="10"/>
      <color rgb="FF000000"/>
      <name val="Calibri"/>
      <family val="2"/>
    </font>
    <font>
      <b/>
      <sz val="10"/>
      <color rgb="FFFFFFFF"/>
      <name val="Calibri"/>
      <family val="2"/>
    </font>
    <font>
      <b/>
      <sz val="14"/>
      <color rgb="FFFFFFFF"/>
      <name val="Calibri"/>
      <family val="2"/>
    </font>
    <font>
      <i/>
      <sz val="10"/>
      <color rgb="FF000000"/>
      <name val="Calibri"/>
      <family val="2"/>
    </font>
    <font>
      <sz val="10"/>
      <color rgb="FFC0000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b/>
      <sz val="18"/>
      <color theme="0"/>
      <name val="Calibri"/>
      <family val="2"/>
    </font>
    <font>
      <b/>
      <sz val="12"/>
      <color theme="0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u/>
      <sz val="20"/>
      <color theme="0"/>
      <name val="Calibri"/>
      <family val="2"/>
    </font>
  </fonts>
  <fills count="2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BDD7EE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1E5631"/>
      </patternFill>
    </fill>
    <fill>
      <patternFill patternType="solid">
        <fgColor rgb="FFE2EFDA"/>
      </patternFill>
    </fill>
    <fill>
      <patternFill patternType="solid">
        <fgColor rgb="FF375623"/>
      </patternFill>
    </fill>
    <fill>
      <patternFill patternType="solid">
        <fgColor rgb="FFF4B942"/>
      </patternFill>
    </fill>
    <fill>
      <patternFill patternType="solid">
        <fgColor rgb="FFC00000"/>
      </patternFill>
    </fill>
    <fill>
      <patternFill patternType="solid">
        <fgColor rgb="FFFCE4D6"/>
      </patternFill>
    </fill>
    <fill>
      <patternFill patternType="solid">
        <fgColor rgb="FFEAD1DC"/>
      </patternFill>
    </fill>
    <fill>
      <patternFill patternType="solid">
        <fgColor rgb="FFD9D2E9"/>
      </patternFill>
    </fill>
    <fill>
      <patternFill patternType="solid">
        <fgColor rgb="FF843C0C"/>
      </patternFill>
    </fill>
    <fill>
      <patternFill patternType="solid">
        <fgColor rgb="FF4A235A"/>
      </patternFill>
    </fill>
    <fill>
      <patternFill patternType="solid">
        <fgColor rgb="FF7030A0"/>
      </patternFill>
    </fill>
    <fill>
      <patternFill patternType="solid">
        <fgColor rgb="FF7F6000"/>
      </patternFill>
    </fill>
    <fill>
      <patternFill patternType="solid">
        <fgColor rgb="FFFFE089"/>
        <bgColor indexed="64"/>
      </patternFill>
    </fill>
    <fill>
      <patternFill patternType="solid">
        <fgColor rgb="FFEEE0B7"/>
        <bgColor indexed="64"/>
      </patternFill>
    </fill>
    <fill>
      <patternFill patternType="solid">
        <fgColor rgb="FFC4CBB7"/>
        <bgColor indexed="64"/>
      </patternFill>
    </fill>
    <fill>
      <patternFill patternType="solid">
        <fgColor rgb="FF1A1A1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C8F8F"/>
        <bgColor indexed="64"/>
      </patternFill>
    </fill>
    <fill>
      <patternFill patternType="solid">
        <fgColor rgb="FF405059"/>
        <bgColor indexed="64"/>
      </patternFill>
    </fill>
    <fill>
      <patternFill patternType="solid">
        <fgColor rgb="FF7CDACA"/>
        <bgColor indexed="64"/>
      </patternFill>
    </fill>
    <fill>
      <patternFill patternType="solid">
        <fgColor rgb="FF73B06F"/>
        <bgColor indexed="64"/>
      </patternFill>
    </fill>
    <fill>
      <patternFill patternType="solid">
        <fgColor rgb="FF7030A0"/>
        <bgColor indexed="64"/>
      </patternFill>
    </fill>
  </fills>
  <borders count="1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medium">
        <color rgb="FF555555"/>
      </left>
      <right style="medium">
        <color rgb="FF555555"/>
      </right>
      <top style="medium">
        <color rgb="FF555555"/>
      </top>
      <bottom style="medium">
        <color rgb="FF555555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rgb="FFAAAAAA"/>
      </left>
      <right/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5">
    <xf numFmtId="0" fontId="0" fillId="0" borderId="0"/>
    <xf numFmtId="9" fontId="45" fillId="0" borderId="0" applyFont="0" applyFill="0" applyBorder="0" applyAlignment="0" applyProtection="0"/>
    <xf numFmtId="49" fontId="49" fillId="25" borderId="0">
      <alignment horizontal="center" vertical="center"/>
    </xf>
    <xf numFmtId="49" fontId="50" fillId="24" borderId="0">
      <alignment horizontal="center" vertical="center"/>
    </xf>
    <xf numFmtId="0" fontId="3" fillId="19" borderId="0">
      <alignment horizontal="center" vertical="center"/>
    </xf>
  </cellStyleXfs>
  <cellXfs count="224">
    <xf numFmtId="0" fontId="0" fillId="0" borderId="0" xfId="0"/>
    <xf numFmtId="0" fontId="7" fillId="2" borderId="1" xfId="0" applyFont="1" applyFill="1" applyBorder="1" applyAlignment="1">
      <alignment horizontal="center" vertical="center" wrapText="1"/>
    </xf>
    <xf numFmtId="0" fontId="40" fillId="5" borderId="1" xfId="0" applyFont="1" applyFill="1" applyBorder="1"/>
    <xf numFmtId="0" fontId="40" fillId="4" borderId="1" xfId="0" applyFont="1" applyFill="1" applyBorder="1"/>
    <xf numFmtId="0" fontId="41" fillId="15" borderId="1" xfId="0" applyFont="1" applyFill="1" applyBorder="1" applyAlignment="1">
      <alignment horizontal="center" vertical="center"/>
    </xf>
    <xf numFmtId="0" fontId="41" fillId="16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41" fillId="9" borderId="1" xfId="0" applyFont="1" applyFill="1" applyBorder="1" applyAlignment="1">
      <alignment horizontal="center" vertical="center"/>
    </xf>
    <xf numFmtId="0" fontId="40" fillId="8" borderId="1" xfId="0" applyFont="1" applyFill="1" applyBorder="1"/>
    <xf numFmtId="0" fontId="13" fillId="3" borderId="1" xfId="0" applyFont="1" applyFill="1" applyBorder="1" applyAlignment="1">
      <alignment horizontal="center" vertical="center"/>
    </xf>
    <xf numFmtId="0" fontId="40" fillId="12" borderId="1" xfId="0" applyFont="1" applyFill="1" applyBorder="1"/>
    <xf numFmtId="0" fontId="17" fillId="3" borderId="1" xfId="0" applyFont="1" applyFill="1" applyBorder="1" applyAlignment="1">
      <alignment horizontal="center" vertical="center"/>
    </xf>
    <xf numFmtId="0" fontId="40" fillId="14" borderId="1" xfId="0" applyFont="1" applyFill="1" applyBorder="1"/>
    <xf numFmtId="0" fontId="19" fillId="3" borderId="1" xfId="0" applyFont="1" applyFill="1" applyBorder="1" applyAlignment="1">
      <alignment horizontal="center" vertical="center"/>
    </xf>
    <xf numFmtId="0" fontId="40" fillId="6" borderId="1" xfId="0" applyFont="1" applyFill="1" applyBorder="1" applyAlignment="1">
      <alignment horizontal="left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41" fillId="2" borderId="5" xfId="0" applyFont="1" applyFill="1" applyBorder="1" applyAlignment="1">
      <alignment horizontal="center" vertical="center"/>
    </xf>
    <xf numFmtId="0" fontId="40" fillId="5" borderId="8" xfId="0" applyFont="1" applyFill="1" applyBorder="1"/>
    <xf numFmtId="0" fontId="15" fillId="3" borderId="8" xfId="0" applyFont="1" applyFill="1" applyBorder="1" applyAlignment="1">
      <alignment horizontal="center" vertical="center"/>
    </xf>
    <xf numFmtId="0" fontId="0" fillId="22" borderId="0" xfId="0" applyFill="1"/>
    <xf numFmtId="0" fontId="0" fillId="25" borderId="0" xfId="0" applyFill="1"/>
    <xf numFmtId="49" fontId="50" fillId="24" borderId="0" xfId="3">
      <alignment horizontal="center" vertical="center"/>
    </xf>
    <xf numFmtId="0" fontId="0" fillId="26" borderId="0" xfId="0" applyFill="1"/>
    <xf numFmtId="0" fontId="51" fillId="0" borderId="0" xfId="0" applyFont="1" applyProtection="1">
      <protection locked="0"/>
    </xf>
    <xf numFmtId="164" fontId="36" fillId="3" borderId="9" xfId="0" applyNumberFormat="1" applyFont="1" applyFill="1" applyBorder="1" applyAlignment="1" applyProtection="1">
      <alignment horizontal="right" vertical="center"/>
      <protection hidden="1"/>
    </xf>
    <xf numFmtId="164" fontId="0" fillId="3" borderId="1" xfId="0" applyNumberFormat="1" applyFill="1" applyBorder="1" applyAlignment="1" applyProtection="1">
      <alignment horizontal="right" vertical="center"/>
      <protection hidden="1"/>
    </xf>
    <xf numFmtId="164" fontId="0" fillId="5" borderId="2" xfId="0" applyNumberFormat="1" applyFill="1" applyBorder="1" applyAlignment="1" applyProtection="1">
      <alignment horizontal="right" vertical="center"/>
      <protection hidden="1"/>
    </xf>
    <xf numFmtId="0" fontId="0" fillId="8" borderId="1" xfId="0" applyFill="1" applyBorder="1" applyAlignment="1" applyProtection="1">
      <alignment horizontal="center" vertical="center"/>
      <protection hidden="1"/>
    </xf>
    <xf numFmtId="164" fontId="3" fillId="19" borderId="0" xfId="4" applyNumberFormat="1" applyProtection="1">
      <alignment horizontal="center" vertical="center"/>
      <protection hidden="1"/>
    </xf>
    <xf numFmtId="10" fontId="0" fillId="3" borderId="1" xfId="0" applyNumberFormat="1" applyFill="1" applyBorder="1" applyAlignment="1" applyProtection="1">
      <alignment horizontal="center" vertical="center"/>
      <protection hidden="1"/>
    </xf>
    <xf numFmtId="164" fontId="4" fillId="8" borderId="1" xfId="0" applyNumberFormat="1" applyFont="1" applyFill="1" applyBorder="1" applyAlignment="1" applyProtection="1">
      <alignment horizontal="right" vertical="center"/>
      <protection hidden="1"/>
    </xf>
    <xf numFmtId="10" fontId="36" fillId="5" borderId="9" xfId="0" applyNumberFormat="1" applyFont="1" applyFill="1" applyBorder="1" applyAlignment="1" applyProtection="1">
      <alignment horizontal="right" vertical="center"/>
      <protection locked="0"/>
    </xf>
    <xf numFmtId="10" fontId="0" fillId="3" borderId="1" xfId="0" applyNumberFormat="1" applyFill="1" applyBorder="1" applyAlignment="1" applyProtection="1">
      <alignment horizontal="center" vertical="center"/>
      <protection locked="0"/>
    </xf>
    <xf numFmtId="164" fontId="0" fillId="5" borderId="2" xfId="0" applyNumberFormat="1" applyFill="1" applyBorder="1" applyAlignment="1" applyProtection="1">
      <alignment horizontal="right" vertical="center"/>
      <protection locked="0"/>
    </xf>
    <xf numFmtId="164" fontId="11" fillId="10" borderId="2" xfId="0" applyNumberFormat="1" applyFont="1" applyFill="1" applyBorder="1" applyAlignment="1" applyProtection="1">
      <alignment horizontal="right" vertical="center"/>
      <protection hidden="1"/>
    </xf>
    <xf numFmtId="9" fontId="11" fillId="10" borderId="2" xfId="0" applyNumberFormat="1" applyFont="1" applyFill="1" applyBorder="1" applyAlignment="1" applyProtection="1">
      <alignment horizontal="center" vertical="center"/>
      <protection hidden="1"/>
    </xf>
    <xf numFmtId="164" fontId="0" fillId="20" borderId="1" xfId="0" applyNumberFormat="1" applyFill="1" applyBorder="1" applyAlignment="1" applyProtection="1">
      <alignment horizontal="right" vertical="center"/>
      <protection hidden="1"/>
    </xf>
    <xf numFmtId="0" fontId="0" fillId="5" borderId="1" xfId="0" applyFill="1" applyBorder="1" applyAlignment="1" applyProtection="1">
      <alignment horizontal="center" vertical="center"/>
      <protection hidden="1"/>
    </xf>
    <xf numFmtId="164" fontId="0" fillId="21" borderId="1" xfId="0" applyNumberFormat="1" applyFill="1" applyBorder="1" applyAlignment="1" applyProtection="1">
      <alignment horizontal="right" vertical="center"/>
      <protection hidden="1"/>
    </xf>
    <xf numFmtId="164" fontId="0" fillId="21" borderId="8" xfId="0" applyNumberFormat="1" applyFill="1" applyBorder="1" applyAlignment="1" applyProtection="1">
      <alignment horizontal="right" vertical="center"/>
      <protection hidden="1"/>
    </xf>
    <xf numFmtId="164" fontId="0" fillId="3" borderId="8" xfId="0" applyNumberFormat="1" applyFill="1" applyBorder="1" applyAlignment="1" applyProtection="1">
      <alignment horizontal="right" vertical="center"/>
      <protection hidden="1"/>
    </xf>
    <xf numFmtId="10" fontId="0" fillId="3" borderId="8" xfId="0" applyNumberFormat="1" applyFill="1" applyBorder="1" applyAlignment="1" applyProtection="1">
      <alignment horizontal="center" vertical="center"/>
      <protection hidden="1"/>
    </xf>
    <xf numFmtId="9" fontId="11" fillId="10" borderId="2" xfId="1" applyFont="1" applyFill="1" applyBorder="1" applyAlignment="1" applyProtection="1">
      <alignment horizontal="right" vertical="center"/>
      <protection hidden="1"/>
    </xf>
    <xf numFmtId="164" fontId="0" fillId="20" borderId="9" xfId="0" applyNumberFormat="1" applyFill="1" applyBorder="1" applyProtection="1">
      <protection hidden="1"/>
    </xf>
    <xf numFmtId="164" fontId="0" fillId="21" borderId="9" xfId="0" applyNumberFormat="1" applyFill="1" applyBorder="1" applyProtection="1">
      <protection hidden="1"/>
    </xf>
    <xf numFmtId="164" fontId="4" fillId="3" borderId="1" xfId="0" applyNumberFormat="1" applyFont="1" applyFill="1" applyBorder="1" applyAlignment="1" applyProtection="1">
      <alignment horizontal="right" vertical="center"/>
      <protection hidden="1"/>
    </xf>
    <xf numFmtId="0" fontId="0" fillId="0" borderId="9" xfId="0" applyBorder="1"/>
    <xf numFmtId="49" fontId="50" fillId="24" borderId="0" xfId="3">
      <alignment horizontal="center" vertical="center"/>
    </xf>
    <xf numFmtId="0" fontId="0" fillId="12" borderId="9" xfId="0" applyFill="1" applyBorder="1" applyAlignment="1" applyProtection="1">
      <alignment horizontal="center"/>
      <protection hidden="1"/>
    </xf>
    <xf numFmtId="0" fontId="0" fillId="0" borderId="9" xfId="0" applyBorder="1" applyAlignment="1" applyProtection="1">
      <alignment horizontal="center"/>
      <protection hidden="1"/>
    </xf>
    <xf numFmtId="0" fontId="0" fillId="3" borderId="9" xfId="0" applyFill="1" applyBorder="1" applyAlignment="1" applyProtection="1">
      <alignment horizontal="center"/>
      <protection hidden="1"/>
    </xf>
    <xf numFmtId="49" fontId="49" fillId="25" borderId="0" xfId="2">
      <alignment horizontal="center" vertical="center"/>
    </xf>
    <xf numFmtId="0" fontId="0" fillId="0" borderId="0" xfId="0"/>
    <xf numFmtId="164" fontId="4" fillId="5" borderId="9" xfId="0" applyNumberFormat="1" applyFont="1" applyFill="1" applyBorder="1" applyAlignment="1" applyProtection="1">
      <alignment horizontal="right" vertical="center"/>
      <protection locked="0"/>
    </xf>
    <xf numFmtId="0" fontId="0" fillId="0" borderId="9" xfId="0" applyBorder="1" applyProtection="1">
      <protection locked="0"/>
    </xf>
    <xf numFmtId="164" fontId="4" fillId="21" borderId="10" xfId="0" applyNumberFormat="1" applyFont="1" applyFill="1" applyBorder="1" applyAlignment="1" applyProtection="1">
      <alignment horizontal="right" vertical="center"/>
      <protection hidden="1"/>
    </xf>
    <xf numFmtId="164" fontId="4" fillId="21" borderId="11" xfId="0" applyNumberFormat="1" applyFont="1" applyFill="1" applyBorder="1" applyAlignment="1" applyProtection="1">
      <alignment horizontal="right" vertical="center"/>
      <protection hidden="1"/>
    </xf>
    <xf numFmtId="0" fontId="4" fillId="21" borderId="10" xfId="0" applyFont="1" applyFill="1" applyBorder="1" applyAlignment="1" applyProtection="1">
      <alignment horizontal="right" vertical="center"/>
      <protection hidden="1"/>
    </xf>
    <xf numFmtId="0" fontId="4" fillId="21" borderId="11" xfId="0" applyFont="1" applyFill="1" applyBorder="1" applyAlignment="1" applyProtection="1">
      <alignment horizontal="right" vertical="center"/>
      <protection hidden="1"/>
    </xf>
    <xf numFmtId="164" fontId="4" fillId="21" borderId="9" xfId="0" applyNumberFormat="1" applyFont="1" applyFill="1" applyBorder="1" applyAlignment="1" applyProtection="1">
      <alignment horizontal="right" vertical="center"/>
      <protection hidden="1"/>
    </xf>
    <xf numFmtId="0" fontId="0" fillId="21" borderId="9" xfId="0" applyFill="1" applyBorder="1" applyProtection="1">
      <protection hidden="1"/>
    </xf>
    <xf numFmtId="10" fontId="4" fillId="21" borderId="9" xfId="0" applyNumberFormat="1" applyFont="1" applyFill="1" applyBorder="1" applyAlignment="1" applyProtection="1">
      <alignment horizontal="right" vertical="center"/>
      <protection hidden="1"/>
    </xf>
    <xf numFmtId="0" fontId="0" fillId="21" borderId="9" xfId="0" applyFill="1" applyBorder="1" applyAlignment="1" applyProtection="1">
      <alignment horizontal="center" vertical="center"/>
      <protection hidden="1"/>
    </xf>
    <xf numFmtId="0" fontId="0" fillId="5" borderId="9" xfId="0" applyFill="1" applyBorder="1" applyProtection="1">
      <protection locked="0"/>
    </xf>
    <xf numFmtId="14" fontId="4" fillId="3" borderId="9" xfId="0" applyNumberFormat="1" applyFont="1" applyFill="1" applyBorder="1" applyAlignment="1" applyProtection="1">
      <alignment horizontal="left" vertical="center"/>
      <protection locked="0"/>
    </xf>
    <xf numFmtId="0" fontId="0" fillId="4" borderId="9" xfId="0" applyFill="1" applyBorder="1" applyProtection="1">
      <protection locked="0"/>
    </xf>
    <xf numFmtId="0" fontId="4" fillId="21" borderId="9" xfId="0" applyFont="1" applyFill="1" applyBorder="1" applyAlignment="1" applyProtection="1">
      <alignment horizontal="right" vertical="center"/>
      <protection hidden="1"/>
    </xf>
    <xf numFmtId="0" fontId="4" fillId="3" borderId="9" xfId="0" applyFont="1" applyFill="1" applyBorder="1" applyAlignment="1" applyProtection="1">
      <alignment horizontal="left" vertical="center"/>
      <protection locked="0"/>
    </xf>
    <xf numFmtId="0" fontId="0" fillId="14" borderId="9" xfId="0" applyFill="1" applyBorder="1" applyProtection="1">
      <protection locked="0"/>
    </xf>
    <xf numFmtId="0" fontId="0" fillId="3" borderId="9" xfId="0" applyFill="1" applyBorder="1" applyProtection="1">
      <protection locked="0"/>
    </xf>
    <xf numFmtId="0" fontId="0" fillId="12" borderId="9" xfId="0" applyFill="1" applyBorder="1" applyProtection="1">
      <protection locked="0"/>
    </xf>
    <xf numFmtId="0" fontId="0" fillId="13" borderId="9" xfId="0" applyFill="1" applyBorder="1" applyProtection="1">
      <protection locked="0"/>
    </xf>
    <xf numFmtId="0" fontId="0" fillId="8" borderId="9" xfId="0" applyFill="1" applyBorder="1" applyProtection="1">
      <protection locked="0"/>
    </xf>
    <xf numFmtId="0" fontId="2" fillId="2" borderId="1" xfId="0" applyFont="1" applyFill="1" applyBorder="1" applyAlignment="1">
      <alignment horizontal="center" vertical="center"/>
    </xf>
    <xf numFmtId="0" fontId="43" fillId="14" borderId="1" xfId="0" applyFont="1" applyFill="1" applyBorder="1" applyAlignment="1">
      <alignment horizontal="left" vertical="center" wrapText="1"/>
    </xf>
    <xf numFmtId="0" fontId="44" fillId="5" borderId="1" xfId="0" applyFont="1" applyFill="1" applyBorder="1" applyAlignment="1">
      <alignment horizontal="left" vertical="center"/>
    </xf>
    <xf numFmtId="0" fontId="7" fillId="2" borderId="9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left" vertical="center" wrapText="1"/>
    </xf>
    <xf numFmtId="0" fontId="10" fillId="5" borderId="9" xfId="0" applyFont="1" applyFill="1" applyBorder="1" applyAlignment="1">
      <alignment horizontal="left" vertical="center" wrapText="1"/>
    </xf>
    <xf numFmtId="0" fontId="44" fillId="12" borderId="1" xfId="0" applyFont="1" applyFill="1" applyBorder="1" applyAlignment="1">
      <alignment horizontal="left" vertical="center"/>
    </xf>
    <xf numFmtId="0" fontId="10" fillId="5" borderId="1" xfId="0" applyFont="1" applyFill="1" applyBorder="1" applyAlignment="1">
      <alignment horizontal="left" vertical="center" wrapText="1"/>
    </xf>
    <xf numFmtId="0" fontId="7" fillId="16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42" fillId="9" borderId="2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left" vertical="center" wrapText="1"/>
    </xf>
    <xf numFmtId="0" fontId="10" fillId="12" borderId="1" xfId="0" applyFont="1" applyFill="1" applyBorder="1" applyAlignment="1">
      <alignment horizontal="left" vertical="center" wrapText="1"/>
    </xf>
    <xf numFmtId="0" fontId="7" fillId="9" borderId="1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left" vertical="center" wrapText="1"/>
    </xf>
    <xf numFmtId="0" fontId="42" fillId="16" borderId="2" xfId="0" applyFont="1" applyFill="1" applyBorder="1" applyAlignment="1">
      <alignment horizontal="center" vertical="center"/>
    </xf>
    <xf numFmtId="0" fontId="44" fillId="12" borderId="9" xfId="0" applyFont="1" applyFill="1" applyBorder="1" applyAlignment="1">
      <alignment horizontal="left" vertical="center"/>
    </xf>
    <xf numFmtId="0" fontId="43" fillId="12" borderId="1" xfId="0" applyFont="1" applyFill="1" applyBorder="1" applyAlignment="1">
      <alignment horizontal="left" vertical="center" wrapText="1"/>
    </xf>
    <xf numFmtId="0" fontId="42" fillId="15" borderId="2" xfId="0" applyFont="1" applyFill="1" applyBorder="1" applyAlignment="1">
      <alignment horizontal="center" vertical="center"/>
    </xf>
    <xf numFmtId="0" fontId="7" fillId="11" borderId="9" xfId="0" applyFont="1" applyFill="1" applyBorder="1" applyAlignment="1">
      <alignment horizontal="center" vertical="center"/>
    </xf>
    <xf numFmtId="0" fontId="44" fillId="5" borderId="9" xfId="0" applyFont="1" applyFill="1" applyBorder="1" applyAlignment="1">
      <alignment horizontal="left" vertical="center"/>
    </xf>
    <xf numFmtId="0" fontId="42" fillId="2" borderId="9" xfId="0" applyFont="1" applyFill="1" applyBorder="1" applyAlignment="1">
      <alignment horizontal="center" vertical="center"/>
    </xf>
    <xf numFmtId="0" fontId="43" fillId="4" borderId="9" xfId="0" applyFont="1" applyFill="1" applyBorder="1" applyAlignment="1">
      <alignment horizontal="left" vertical="center" wrapText="1"/>
    </xf>
    <xf numFmtId="0" fontId="43" fillId="8" borderId="1" xfId="0" applyFont="1" applyFill="1" applyBorder="1" applyAlignment="1">
      <alignment horizontal="left" vertical="center" wrapText="1"/>
    </xf>
    <xf numFmtId="164" fontId="4" fillId="5" borderId="2" xfId="0" applyNumberFormat="1" applyFont="1" applyFill="1" applyBorder="1" applyAlignment="1" applyProtection="1">
      <alignment horizontal="right" vertical="center"/>
      <protection locked="0"/>
    </xf>
    <xf numFmtId="0" fontId="10" fillId="5" borderId="1" xfId="0" applyFont="1" applyFill="1" applyBorder="1" applyProtection="1">
      <protection locked="0"/>
    </xf>
    <xf numFmtId="0" fontId="10" fillId="6" borderId="1" xfId="0" applyFont="1" applyFill="1" applyBorder="1" applyProtection="1">
      <protection locked="0"/>
    </xf>
    <xf numFmtId="0" fontId="12" fillId="20" borderId="3" xfId="0" applyFont="1" applyFill="1" applyBorder="1" applyProtection="1">
      <protection locked="0"/>
    </xf>
    <xf numFmtId="0" fontId="13" fillId="20" borderId="3" xfId="0" applyFont="1" applyFill="1" applyBorder="1" applyProtection="1">
      <protection locked="0"/>
    </xf>
    <xf numFmtId="0" fontId="15" fillId="20" borderId="3" xfId="0" applyFont="1" applyFill="1" applyBorder="1" applyProtection="1">
      <protection locked="0"/>
    </xf>
    <xf numFmtId="0" fontId="17" fillId="20" borderId="3" xfId="0" applyFont="1" applyFill="1" applyBorder="1" applyProtection="1">
      <protection locked="0"/>
    </xf>
    <xf numFmtId="0" fontId="19" fillId="20" borderId="3" xfId="0" applyFont="1" applyFill="1" applyBorder="1" applyProtection="1">
      <protection locked="0"/>
    </xf>
    <xf numFmtId="0" fontId="21" fillId="20" borderId="3" xfId="0" applyFont="1" applyFill="1" applyBorder="1" applyProtection="1">
      <protection locked="0"/>
    </xf>
    <xf numFmtId="0" fontId="23" fillId="21" borderId="3" xfId="0" applyFont="1" applyFill="1" applyBorder="1" applyProtection="1">
      <protection locked="0"/>
    </xf>
    <xf numFmtId="0" fontId="25" fillId="21" borderId="3" xfId="0" applyFont="1" applyFill="1" applyBorder="1" applyProtection="1">
      <protection locked="0"/>
    </xf>
    <xf numFmtId="0" fontId="27" fillId="21" borderId="3" xfId="0" applyFont="1" applyFill="1" applyBorder="1" applyProtection="1">
      <protection locked="0"/>
    </xf>
    <xf numFmtId="0" fontId="29" fillId="21" borderId="3" xfId="0" applyFont="1" applyFill="1" applyBorder="1" applyProtection="1">
      <protection locked="0"/>
    </xf>
    <xf numFmtId="0" fontId="31" fillId="21" borderId="3" xfId="0" applyFont="1" applyFill="1" applyBorder="1" applyProtection="1">
      <protection locked="0"/>
    </xf>
    <xf numFmtId="0" fontId="33" fillId="21" borderId="3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10" fillId="8" borderId="3" xfId="0" applyFont="1" applyFill="1" applyBorder="1" applyProtection="1">
      <protection locked="0"/>
    </xf>
    <xf numFmtId="0" fontId="6" fillId="5" borderId="1" xfId="0" applyFont="1" applyFill="1" applyBorder="1" applyProtection="1">
      <protection locked="0"/>
    </xf>
    <xf numFmtId="0" fontId="6" fillId="8" borderId="1" xfId="0" applyFont="1" applyFill="1" applyBorder="1" applyProtection="1">
      <protection locked="0"/>
    </xf>
    <xf numFmtId="0" fontId="0" fillId="5" borderId="4" xfId="0" applyFill="1" applyBorder="1" applyAlignment="1" applyProtection="1">
      <alignment horizontal="center"/>
      <protection locked="0"/>
    </xf>
    <xf numFmtId="0" fontId="0" fillId="8" borderId="4" xfId="0" applyFill="1" applyBorder="1" applyAlignment="1" applyProtection="1">
      <alignment horizontal="center"/>
      <protection locked="0"/>
    </xf>
    <xf numFmtId="0" fontId="0" fillId="22" borderId="0" xfId="0" applyFill="1" applyProtection="1">
      <protection locked="0"/>
    </xf>
    <xf numFmtId="0" fontId="0" fillId="25" borderId="0" xfId="0" applyFill="1" applyProtection="1">
      <protection locked="0"/>
    </xf>
    <xf numFmtId="0" fontId="0" fillId="26" borderId="0" xfId="0" applyFill="1" applyProtection="1">
      <protection locked="0"/>
    </xf>
    <xf numFmtId="0" fontId="46" fillId="23" borderId="0" xfId="0" applyFont="1" applyFill="1" applyProtection="1">
      <protection locked="0"/>
    </xf>
    <xf numFmtId="0" fontId="0" fillId="0" borderId="0" xfId="0" applyProtection="1">
      <protection locked="0"/>
    </xf>
    <xf numFmtId="0" fontId="1" fillId="25" borderId="0" xfId="0" applyFont="1" applyFill="1" applyAlignment="1" applyProtection="1">
      <alignment horizontal="center" vertical="center"/>
      <protection locked="0"/>
    </xf>
    <xf numFmtId="0" fontId="0" fillId="25" borderId="0" xfId="0" applyFill="1" applyProtection="1">
      <protection locked="0"/>
    </xf>
    <xf numFmtId="0" fontId="2" fillId="24" borderId="0" xfId="0" applyFont="1" applyFill="1" applyAlignment="1" applyProtection="1">
      <alignment horizontal="center" vertical="center"/>
      <protection locked="0"/>
    </xf>
    <xf numFmtId="0" fontId="0" fillId="24" borderId="0" xfId="0" applyFill="1" applyProtection="1">
      <protection locked="0"/>
    </xf>
    <xf numFmtId="0" fontId="3" fillId="19" borderId="0" xfId="0" applyFont="1" applyFill="1" applyAlignment="1" applyProtection="1">
      <alignment horizontal="center" vertical="center"/>
      <protection locked="0"/>
    </xf>
    <xf numFmtId="0" fontId="0" fillId="19" borderId="0" xfId="0" applyFill="1" applyProtection="1">
      <protection locked="0"/>
    </xf>
    <xf numFmtId="0" fontId="0" fillId="23" borderId="0" xfId="0" applyFill="1" applyProtection="1">
      <protection locked="0"/>
    </xf>
    <xf numFmtId="0" fontId="4" fillId="4" borderId="1" xfId="0" applyFont="1" applyFill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3" fontId="5" fillId="5" borderId="2" xfId="0" applyNumberFormat="1" applyFont="1" applyFill="1" applyBorder="1" applyAlignment="1" applyProtection="1">
      <alignment horizontal="center" vertical="center"/>
      <protection locked="0"/>
    </xf>
    <xf numFmtId="0" fontId="6" fillId="6" borderId="0" xfId="0" applyFont="1" applyFill="1" applyAlignment="1" applyProtection="1">
      <alignment horizontal="left" vertical="center"/>
      <protection locked="0"/>
    </xf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0" fillId="5" borderId="1" xfId="0" applyFill="1" applyBorder="1" applyAlignment="1" applyProtection="1">
      <alignment horizontal="left" vertical="center"/>
      <protection locked="0"/>
    </xf>
    <xf numFmtId="0" fontId="6" fillId="5" borderId="1" xfId="0" applyFont="1" applyFill="1" applyBorder="1" applyAlignment="1" applyProtection="1">
      <alignment horizontal="left" vertical="center"/>
      <protection locked="0"/>
    </xf>
    <xf numFmtId="14" fontId="0" fillId="5" borderId="1" xfId="0" applyNumberForma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left" vertical="center"/>
      <protection locked="0"/>
    </xf>
    <xf numFmtId="0" fontId="6" fillId="4" borderId="1" xfId="0" applyFont="1" applyFill="1" applyBorder="1" applyAlignment="1" applyProtection="1">
      <alignment horizontal="left" vertical="center"/>
      <protection locked="0"/>
    </xf>
    <xf numFmtId="14" fontId="0" fillId="4" borderId="1" xfId="0" applyNumberFormat="1" applyFill="1" applyBorder="1" applyAlignment="1" applyProtection="1">
      <alignment horizontal="center" vertical="center"/>
      <protection locked="0"/>
    </xf>
    <xf numFmtId="49" fontId="8" fillId="24" borderId="0" xfId="3" applyFont="1" applyProtection="1">
      <alignment horizontal="center" vertical="center"/>
      <protection locked="0"/>
    </xf>
    <xf numFmtId="49" fontId="0" fillId="24" borderId="0" xfId="3" applyFont="1" applyAlignment="1" applyProtection="1">
      <protection locked="0"/>
    </xf>
    <xf numFmtId="0" fontId="4" fillId="6" borderId="9" xfId="0" applyFont="1" applyFill="1" applyBorder="1" applyAlignment="1" applyProtection="1">
      <alignment horizontal="left" vertical="center"/>
      <protection locked="0"/>
    </xf>
    <xf numFmtId="0" fontId="6" fillId="8" borderId="9" xfId="0" applyFont="1" applyFill="1" applyBorder="1" applyAlignment="1" applyProtection="1">
      <alignment horizontal="left" vertical="center"/>
      <protection locked="0"/>
    </xf>
    <xf numFmtId="0" fontId="6" fillId="5" borderId="9" xfId="0" applyFont="1" applyFill="1" applyBorder="1" applyAlignment="1" applyProtection="1">
      <alignment horizontal="left" vertical="center"/>
      <protection locked="0"/>
    </xf>
    <xf numFmtId="14" fontId="6" fillId="5" borderId="9" xfId="0" applyNumberFormat="1" applyFont="1" applyFill="1" applyBorder="1" applyAlignment="1" applyProtection="1">
      <alignment horizontal="left" vertical="center"/>
      <protection locked="0"/>
    </xf>
    <xf numFmtId="0" fontId="3" fillId="19" borderId="0" xfId="4" applyAlignment="1" applyProtection="1">
      <alignment horizontal="center" vertical="center" wrapText="1"/>
      <protection locked="0"/>
    </xf>
    <xf numFmtId="0" fontId="0" fillId="19" borderId="0" xfId="4" applyFont="1" applyAlignment="1" applyProtection="1">
      <protection locked="0"/>
    </xf>
    <xf numFmtId="49" fontId="50" fillId="24" borderId="0" xfId="3" applyProtection="1">
      <alignment horizontal="center" vertical="center"/>
      <protection locked="0"/>
    </xf>
    <xf numFmtId="49" fontId="50" fillId="24" borderId="0" xfId="3" applyProtection="1">
      <alignment horizontal="center" vertical="center"/>
    </xf>
    <xf numFmtId="49" fontId="9" fillId="25" borderId="0" xfId="2" applyFont="1" applyProtection="1">
      <alignment horizontal="center" vertical="center"/>
      <protection locked="0"/>
    </xf>
    <xf numFmtId="49" fontId="0" fillId="25" borderId="0" xfId="2" applyFont="1" applyAlignment="1" applyProtection="1">
      <protection locked="0"/>
    </xf>
    <xf numFmtId="0" fontId="0" fillId="5" borderId="4" xfId="0" applyFill="1" applyBorder="1" applyProtection="1">
      <protection locked="0"/>
    </xf>
    <xf numFmtId="0" fontId="0" fillId="8" borderId="4" xfId="0" applyFill="1" applyBorder="1" applyProtection="1">
      <protection locked="0"/>
    </xf>
    <xf numFmtId="0" fontId="8" fillId="7" borderId="2" xfId="0" applyFont="1" applyFill="1" applyBorder="1" applyAlignment="1" applyProtection="1">
      <alignment horizontal="center" vertical="center"/>
      <protection locked="0"/>
    </xf>
    <xf numFmtId="9" fontId="11" fillId="10" borderId="2" xfId="0" applyNumberFormat="1" applyFont="1" applyFill="1" applyBorder="1" applyAlignment="1" applyProtection="1">
      <alignment horizontal="center" vertical="center"/>
      <protection locked="0"/>
    </xf>
    <xf numFmtId="49" fontId="8" fillId="25" borderId="0" xfId="2" applyFont="1" applyProtection="1">
      <alignment horizontal="center" vertical="center"/>
      <protection locked="0"/>
    </xf>
    <xf numFmtId="0" fontId="6" fillId="5" borderId="4" xfId="0" applyFont="1" applyFill="1" applyBorder="1" applyProtection="1">
      <protection locked="0"/>
    </xf>
    <xf numFmtId="0" fontId="10" fillId="4" borderId="3" xfId="0" applyFont="1" applyFill="1" applyBorder="1" applyProtection="1">
      <protection locked="0"/>
    </xf>
    <xf numFmtId="0" fontId="6" fillId="4" borderId="4" xfId="0" applyFont="1" applyFill="1" applyBorder="1" applyProtection="1">
      <protection locked="0"/>
    </xf>
    <xf numFmtId="0" fontId="3" fillId="20" borderId="4" xfId="0" applyFont="1" applyFill="1" applyBorder="1" applyAlignment="1" applyProtection="1">
      <alignment horizontal="center" vertical="center"/>
      <protection locked="0"/>
    </xf>
    <xf numFmtId="0" fontId="14" fillId="20" borderId="4" xfId="0" applyFont="1" applyFill="1" applyBorder="1" applyAlignment="1" applyProtection="1">
      <alignment horizontal="center" vertical="center"/>
      <protection locked="0"/>
    </xf>
    <xf numFmtId="0" fontId="16" fillId="20" borderId="4" xfId="0" applyFont="1" applyFill="1" applyBorder="1" applyAlignment="1" applyProtection="1">
      <alignment horizontal="center" vertical="center"/>
      <protection locked="0"/>
    </xf>
    <xf numFmtId="0" fontId="18" fillId="20" borderId="4" xfId="0" applyFont="1" applyFill="1" applyBorder="1" applyAlignment="1" applyProtection="1">
      <alignment horizontal="center" vertical="center"/>
      <protection locked="0"/>
    </xf>
    <xf numFmtId="0" fontId="20" fillId="20" borderId="4" xfId="0" applyFont="1" applyFill="1" applyBorder="1" applyAlignment="1" applyProtection="1">
      <alignment horizontal="center" vertical="center"/>
      <protection locked="0"/>
    </xf>
    <xf numFmtId="0" fontId="22" fillId="20" borderId="4" xfId="0" applyFont="1" applyFill="1" applyBorder="1" applyAlignment="1" applyProtection="1">
      <alignment horizontal="center" vertical="center"/>
      <protection locked="0"/>
    </xf>
    <xf numFmtId="0" fontId="24" fillId="21" borderId="4" xfId="0" applyFont="1" applyFill="1" applyBorder="1" applyAlignment="1" applyProtection="1">
      <alignment horizontal="center" vertical="center"/>
      <protection locked="0"/>
    </xf>
    <xf numFmtId="0" fontId="26" fillId="21" borderId="4" xfId="0" applyFont="1" applyFill="1" applyBorder="1" applyAlignment="1" applyProtection="1">
      <alignment horizontal="center" vertical="center"/>
      <protection locked="0"/>
    </xf>
    <xf numFmtId="0" fontId="28" fillId="21" borderId="4" xfId="0" applyFont="1" applyFill="1" applyBorder="1" applyAlignment="1" applyProtection="1">
      <alignment horizontal="center" vertical="center"/>
      <protection locked="0"/>
    </xf>
    <xf numFmtId="0" fontId="30" fillId="21" borderId="4" xfId="0" applyFont="1" applyFill="1" applyBorder="1" applyAlignment="1" applyProtection="1">
      <alignment horizontal="center" vertical="center"/>
      <protection locked="0"/>
    </xf>
    <xf numFmtId="0" fontId="32" fillId="21" borderId="4" xfId="0" applyFont="1" applyFill="1" applyBorder="1" applyAlignment="1" applyProtection="1">
      <alignment horizontal="center" vertical="center"/>
      <protection locked="0"/>
    </xf>
    <xf numFmtId="0" fontId="34" fillId="21" borderId="4" xfId="0" applyFont="1" applyFill="1" applyBorder="1" applyAlignment="1" applyProtection="1">
      <alignment horizontal="center" vertical="center"/>
      <protection locked="0"/>
    </xf>
    <xf numFmtId="0" fontId="8" fillId="11" borderId="2" xfId="0" applyFont="1" applyFill="1" applyBorder="1" applyAlignment="1" applyProtection="1">
      <alignment horizontal="center" vertical="center"/>
      <protection locked="0"/>
    </xf>
    <xf numFmtId="49" fontId="50" fillId="24" borderId="0" xfId="3" applyProtection="1">
      <alignment horizontal="center" vertical="center"/>
      <protection locked="0"/>
    </xf>
    <xf numFmtId="0" fontId="47" fillId="0" borderId="0" xfId="0" applyFont="1" applyProtection="1">
      <protection locked="0"/>
    </xf>
    <xf numFmtId="9" fontId="3" fillId="20" borderId="4" xfId="1" applyFont="1" applyFill="1" applyBorder="1" applyAlignment="1" applyProtection="1">
      <alignment horizontal="center" vertical="center"/>
      <protection locked="0"/>
    </xf>
    <xf numFmtId="9" fontId="14" fillId="20" borderId="4" xfId="1" applyFont="1" applyFill="1" applyBorder="1" applyAlignment="1" applyProtection="1">
      <alignment horizontal="center" vertical="center"/>
      <protection locked="0"/>
    </xf>
    <xf numFmtId="9" fontId="16" fillId="20" borderId="4" xfId="1" applyFont="1" applyFill="1" applyBorder="1" applyAlignment="1" applyProtection="1">
      <alignment horizontal="center" vertical="center"/>
      <protection locked="0"/>
    </xf>
    <xf numFmtId="9" fontId="18" fillId="20" borderId="4" xfId="1" applyFont="1" applyFill="1" applyBorder="1" applyAlignment="1" applyProtection="1">
      <alignment horizontal="center" vertical="center"/>
      <protection locked="0"/>
    </xf>
    <xf numFmtId="9" fontId="20" fillId="20" borderId="4" xfId="1" applyFont="1" applyFill="1" applyBorder="1" applyAlignment="1" applyProtection="1">
      <alignment horizontal="center" vertical="center"/>
      <protection locked="0"/>
    </xf>
    <xf numFmtId="9" fontId="22" fillId="20" borderId="4" xfId="1" applyFont="1" applyFill="1" applyBorder="1" applyAlignment="1" applyProtection="1">
      <alignment horizontal="center" vertical="center"/>
      <protection locked="0"/>
    </xf>
    <xf numFmtId="9" fontId="24" fillId="21" borderId="4" xfId="1" applyFont="1" applyFill="1" applyBorder="1" applyAlignment="1" applyProtection="1">
      <alignment horizontal="center" vertical="center"/>
      <protection locked="0"/>
    </xf>
    <xf numFmtId="9" fontId="26" fillId="21" borderId="4" xfId="1" applyFont="1" applyFill="1" applyBorder="1" applyAlignment="1" applyProtection="1">
      <alignment horizontal="center" vertical="center"/>
      <protection locked="0"/>
    </xf>
    <xf numFmtId="9" fontId="28" fillId="21" borderId="4" xfId="1" applyFont="1" applyFill="1" applyBorder="1" applyAlignment="1" applyProtection="1">
      <alignment horizontal="center" vertical="center"/>
      <protection locked="0"/>
    </xf>
    <xf numFmtId="9" fontId="30" fillId="21" borderId="4" xfId="1" applyFont="1" applyFill="1" applyBorder="1" applyAlignment="1" applyProtection="1">
      <alignment horizontal="center" vertical="center"/>
      <protection locked="0"/>
    </xf>
    <xf numFmtId="9" fontId="32" fillId="21" borderId="4" xfId="1" applyFont="1" applyFill="1" applyBorder="1" applyAlignment="1" applyProtection="1">
      <alignment horizontal="center" vertical="center"/>
      <protection locked="0"/>
    </xf>
    <xf numFmtId="0" fontId="33" fillId="21" borderId="7" xfId="0" applyFont="1" applyFill="1" applyBorder="1" applyProtection="1">
      <protection locked="0"/>
    </xf>
    <xf numFmtId="9" fontId="34" fillId="21" borderId="6" xfId="1" applyFont="1" applyFill="1" applyBorder="1" applyAlignment="1" applyProtection="1">
      <alignment horizontal="center" vertical="center"/>
      <protection locked="0"/>
    </xf>
    <xf numFmtId="0" fontId="0" fillId="20" borderId="9" xfId="0" applyFill="1" applyBorder="1" applyProtection="1">
      <protection locked="0"/>
    </xf>
    <xf numFmtId="0" fontId="0" fillId="21" borderId="9" xfId="0" applyFill="1" applyBorder="1" applyProtection="1">
      <protection locked="0"/>
    </xf>
    <xf numFmtId="49" fontId="49" fillId="25" borderId="0" xfId="2" applyProtection="1">
      <alignment horizontal="center" vertical="center"/>
      <protection locked="0"/>
    </xf>
    <xf numFmtId="0" fontId="35" fillId="8" borderId="9" xfId="0" applyFont="1" applyFill="1" applyBorder="1" applyAlignment="1" applyProtection="1">
      <alignment horizontal="left" vertical="center"/>
      <protection locked="0"/>
    </xf>
    <xf numFmtId="0" fontId="37" fillId="12" borderId="9" xfId="0" applyFont="1" applyFill="1" applyBorder="1" applyAlignment="1" applyProtection="1">
      <alignment horizontal="left" vertical="center"/>
      <protection locked="0"/>
    </xf>
    <xf numFmtId="0" fontId="38" fillId="3" borderId="9" xfId="0" applyFont="1" applyFill="1" applyBorder="1" applyAlignment="1" applyProtection="1">
      <alignment horizontal="left" vertical="center"/>
      <protection locked="0"/>
    </xf>
    <xf numFmtId="0" fontId="39" fillId="4" borderId="9" xfId="0" applyFont="1" applyFill="1" applyBorder="1" applyAlignment="1" applyProtection="1">
      <alignment horizontal="left" vertical="center"/>
      <protection locked="0"/>
    </xf>
    <xf numFmtId="0" fontId="10" fillId="8" borderId="1" xfId="0" applyFont="1" applyFill="1" applyBorder="1" applyProtection="1">
      <protection locked="0"/>
    </xf>
    <xf numFmtId="0" fontId="40" fillId="5" borderId="1" xfId="0" applyFont="1" applyFill="1" applyBorder="1" applyProtection="1">
      <protection locked="0"/>
    </xf>
    <xf numFmtId="0" fontId="40" fillId="4" borderId="1" xfId="0" applyFont="1" applyFill="1" applyBorder="1" applyProtection="1">
      <protection locked="0"/>
    </xf>
    <xf numFmtId="0" fontId="3" fillId="19" borderId="0" xfId="4" applyProtection="1">
      <alignment horizontal="center" vertical="center"/>
      <protection locked="0"/>
    </xf>
    <xf numFmtId="14" fontId="3" fillId="21" borderId="0" xfId="4" applyNumberFormat="1" applyFill="1" applyProtection="1">
      <alignment horizontal="center" vertical="center"/>
      <protection locked="0"/>
    </xf>
    <xf numFmtId="0" fontId="2" fillId="17" borderId="9" xfId="0" applyFont="1" applyFill="1" applyBorder="1" applyAlignment="1" applyProtection="1">
      <alignment horizontal="center" vertical="center"/>
      <protection locked="0"/>
    </xf>
    <xf numFmtId="0" fontId="40" fillId="6" borderId="9" xfId="0" applyFont="1" applyFill="1" applyBorder="1" applyAlignment="1" applyProtection="1">
      <alignment horizontal="left" vertical="center"/>
      <protection locked="0"/>
    </xf>
    <xf numFmtId="164" fontId="4" fillId="5" borderId="0" xfId="0" applyNumberFormat="1" applyFont="1" applyFill="1" applyAlignment="1" applyProtection="1">
      <alignment horizontal="right" vertical="center"/>
      <protection locked="0"/>
    </xf>
    <xf numFmtId="0" fontId="0" fillId="5" borderId="0" xfId="0" applyFill="1" applyProtection="1">
      <protection locked="0"/>
    </xf>
    <xf numFmtId="0" fontId="2" fillId="7" borderId="9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15" borderId="9" xfId="0" applyFont="1" applyFill="1" applyBorder="1" applyAlignment="1" applyProtection="1">
      <alignment horizontal="center" vertical="center"/>
      <protection locked="0"/>
    </xf>
    <xf numFmtId="0" fontId="2" fillId="18" borderId="9" xfId="0" applyFont="1" applyFill="1" applyBorder="1" applyAlignment="1" applyProtection="1">
      <alignment horizontal="center" vertical="center"/>
      <protection locked="0"/>
    </xf>
    <xf numFmtId="0" fontId="2" fillId="16" borderId="9" xfId="0" applyFont="1" applyFill="1" applyBorder="1" applyAlignment="1" applyProtection="1">
      <alignment horizontal="center" vertical="center"/>
      <protection locked="0"/>
    </xf>
    <xf numFmtId="14" fontId="46" fillId="0" borderId="0" xfId="0" applyNumberFormat="1" applyFont="1" applyProtection="1">
      <protection hidden="1"/>
    </xf>
    <xf numFmtId="0" fontId="0" fillId="19" borderId="0" xfId="0" applyFill="1" applyProtection="1">
      <protection locked="0"/>
    </xf>
    <xf numFmtId="0" fontId="53" fillId="0" borderId="0" xfId="0" applyFont="1" applyProtection="1">
      <protection locked="0"/>
    </xf>
    <xf numFmtId="0" fontId="0" fillId="0" borderId="0" xfId="0" applyFont="1" applyProtection="1">
      <protection locked="0"/>
    </xf>
    <xf numFmtId="0" fontId="52" fillId="0" borderId="0" xfId="0" applyFont="1" applyProtection="1">
      <protection locked="0"/>
    </xf>
    <xf numFmtId="15" fontId="0" fillId="0" borderId="0" xfId="0" applyNumberFormat="1" applyProtection="1">
      <protection locked="0"/>
    </xf>
    <xf numFmtId="49" fontId="54" fillId="24" borderId="0" xfId="3" applyFont="1">
      <alignment horizontal="center" vertical="center"/>
    </xf>
    <xf numFmtId="0" fontId="0" fillId="21" borderId="0" xfId="0" applyFill="1" applyProtection="1">
      <protection locked="0"/>
    </xf>
    <xf numFmtId="0" fontId="0" fillId="27" borderId="0" xfId="0" applyFill="1" applyProtection="1">
      <protection locked="0"/>
    </xf>
    <xf numFmtId="0" fontId="0" fillId="28" borderId="0" xfId="0" applyFill="1" applyProtection="1">
      <protection locked="0"/>
    </xf>
  </cellXfs>
  <cellStyles count="5">
    <cellStyle name="Normal" xfId="0" builtinId="0"/>
    <cellStyle name="Porcentaje" xfId="1" builtinId="5"/>
    <cellStyle name="T1" xfId="2" xr:uid="{A227F162-3A9F-4229-BC2E-8584F76B0D5C}"/>
    <cellStyle name="T2" xfId="3" xr:uid="{3BD7B745-B4D1-4D6B-BD77-EDED055D01AD}"/>
    <cellStyle name="T3" xfId="4" xr:uid="{8D1B4AF1-86FE-465D-A4CC-9F8867BFA151}"/>
  </cellStyles>
  <dxfs count="39">
    <dxf>
      <fill>
        <patternFill>
          <bgColor theme="6"/>
        </patternFill>
      </fill>
    </dxf>
    <dxf>
      <numFmt numFmtId="0" formatCode="General"/>
      <fill>
        <patternFill patternType="solid">
          <fgColor indexed="64"/>
          <bgColor rgb="FFFFFFFF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1" hidden="1"/>
    </dxf>
    <dxf>
      <numFmt numFmtId="14" formatCode="0.0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1" hidden="1"/>
    </dxf>
    <dxf>
      <numFmt numFmtId="164" formatCode="&quot;$&quot;#,##0.00"/>
      <fill>
        <patternFill patternType="solid">
          <fgColor indexed="64"/>
          <bgColor rgb="FFFFF2C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1" hidden="1"/>
    </dxf>
    <dxf>
      <numFmt numFmtId="164" formatCode="&quot;$&quot;#,##0.00"/>
      <fill>
        <patternFill patternType="solid">
          <fgColor indexed="64"/>
          <bgColor rgb="FFFFF2C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1" hidden="1"/>
    </dxf>
    <dxf>
      <numFmt numFmtId="14" formatCode="0.0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1" hidden="1"/>
    </dxf>
    <dxf>
      <numFmt numFmtId="164" formatCode="&quot;$&quot;#,##0.00"/>
      <fill>
        <patternFill patternType="solid">
          <fgColor indexed="64"/>
          <bgColor rgb="FFFFF2C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1" hidden="1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434343"/>
        <name val="Calibri"/>
        <family val="2"/>
        <scheme val="none"/>
      </font>
      <fill>
        <patternFill patternType="solid">
          <fgColor indexed="64"/>
          <bgColor rgb="FFF3F3F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555555"/>
        </left>
        <right style="medium">
          <color rgb="FF555555"/>
        </right>
        <top style="medium">
          <color rgb="FF555555"/>
        </top>
        <bottom style="medium">
          <color rgb="FF555555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F2F2F2"/>
        </patternFill>
      </fill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434343"/>
        <name val="Calibri"/>
        <family val="2"/>
        <scheme val="none"/>
      </font>
      <fill>
        <patternFill patternType="solid">
          <fgColor indexed="64"/>
          <bgColor rgb="FFF3F3F3"/>
        </patternFill>
      </fill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0" hidden="0"/>
    </dxf>
    <dxf>
      <numFmt numFmtId="14" formatCode="0.0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"/>
      <fill>
        <patternFill patternType="solid">
          <fgColor indexed="64"/>
          <bgColor rgb="FFFFF2C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1" hidden="1"/>
    </dxf>
    <dxf>
      <numFmt numFmtId="164" formatCode="&quot;$&quot;#,##0.00"/>
      <fill>
        <patternFill patternType="solid">
          <fgColor indexed="64"/>
          <bgColor rgb="FFFFF2C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1" hidden="1"/>
    </dxf>
    <dxf>
      <numFmt numFmtId="14" formatCode="0.00%"/>
      <fill>
        <patternFill patternType="solid">
          <fgColor indexed="64"/>
          <bgColor rgb="FFFFF2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  <protection locked="1" hidden="1"/>
    </dxf>
    <dxf>
      <numFmt numFmtId="164" formatCode="&quot;$&quot;#,##0.00"/>
      <fill>
        <patternFill patternType="solid">
          <fgColor indexed="64"/>
          <bgColor rgb="FFFFF2CC"/>
        </patternFill>
      </fill>
      <alignment horizontal="right" vertical="center" textRotation="0" wrapText="0" indent="0" justifyLastLine="0" shrinkToFit="0" readingOrder="0"/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1" hidden="1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fill>
        <patternFill patternType="solid">
          <fgColor indexed="64"/>
          <bgColor rgb="FFE2EFDA"/>
        </patternFill>
      </fill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  <vertical/>
        <horizontal/>
      </border>
      <protection locked="0" hidden="0"/>
    </dxf>
    <dxf>
      <fill>
        <patternFill patternType="solid">
          <fgColor indexed="64"/>
          <bgColor rgb="FFE2EFD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rgb="FFAAAAAA"/>
        </left>
        <right/>
        <top style="thin">
          <color rgb="FFAAAAAA"/>
        </top>
        <bottom style="thin">
          <color rgb="FFAAAAAA"/>
        </bottom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&quot;$&quot;#,##0.00"/>
      <fill>
        <patternFill patternType="solid">
          <fgColor indexed="64"/>
          <bgColor rgb="FFFFFFFF"/>
        </patternFill>
      </fill>
      <alignment horizontal="right" vertical="center" textRotation="0" wrapText="0" indent="0" justifyLastLine="0" shrinkToFit="0" readingOrder="0"/>
      <border diagonalUp="0" diagonalDown="0">
        <left style="medium">
          <color rgb="FF555555"/>
        </left>
        <right style="medium">
          <color rgb="FF555555"/>
        </right>
        <top style="medium">
          <color rgb="FF555555"/>
        </top>
        <bottom style="medium">
          <color rgb="FF555555"/>
        </bottom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95959"/>
        <name val="Calibri"/>
        <family val="2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0" hidden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rgb="FF595959"/>
        <name val="Calibri"/>
        <family val="2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none"/>
      </font>
      <fill>
        <patternFill patternType="solid">
          <fgColor indexed="64"/>
          <bgColor rgb="FFE2EFDA"/>
        </patternFill>
      </fill>
      <border diagonalUp="0" diagonalDown="0">
        <left/>
        <right style="thin">
          <color rgb="FFAAAAAA"/>
        </right>
        <top style="thin">
          <color rgb="FFAAAAAA"/>
        </top>
        <bottom style="thin">
          <color rgb="FFAAAAAA"/>
        </bottom>
        <vertical/>
        <horizontal/>
      </border>
      <protection locked="0" hidden="0"/>
    </dxf>
    <dxf>
      <border outline="0"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  <bottom style="thin">
          <color rgb="FFAAAAAA"/>
        </bottom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</border>
    </dxf>
    <dxf>
      <border outline="0">
        <left style="thin">
          <color rgb="FFAAAAAA"/>
        </left>
        <right style="thin">
          <color rgb="FFAAAAAA"/>
        </right>
      </border>
    </dxf>
    <dxf>
      <border outline="0">
        <left style="thin">
          <color rgb="FFAAAAAA"/>
        </left>
        <right style="thin">
          <color rgb="FFAAAAAA"/>
        </right>
        <top style="thin">
          <color rgb="FFAAAAAA"/>
        </top>
      </border>
    </dxf>
  </dxfs>
  <tableStyles count="0" defaultTableStyle="TableStyleMedium9" defaultPivotStyle="PivotStyleLight16"/>
  <colors>
    <mruColors>
      <color rgb="FF73B06F"/>
      <color rgb="FFFFE089"/>
      <color rgb="FF7CDACA"/>
      <color rgb="FFC4CBB7"/>
      <color rgb="FF1A1A1B"/>
      <color rgb="FF405059"/>
      <color rgb="FF0C8F8F"/>
      <color rgb="FFEEE0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17" Type="http://schemas.openxmlformats.org/officeDocument/2006/relationships/customXml" Target="../customXml/item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'2. Ingresos'!$H$6</c:f>
              <c:strCache>
                <c:ptCount val="1"/>
                <c:pt idx="0">
                  <c:v>Monto Mensual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BBA-4B5E-9016-EE572AC07A0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BBA-4B5E-9016-EE572AC07A0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BBA-4B5E-9016-EE572AC07A0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4BBA-4B5E-9016-EE572AC07A0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4BBA-4B5E-9016-EE572AC07A0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4BBA-4B5E-9016-EE572AC07A0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4BBA-4B5E-9016-EE572AC07A0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4BBA-4B5E-9016-EE572AC07A0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4BBA-4B5E-9016-EE572AC07A0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4BBA-4B5E-9016-EE572AC07A0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4BBA-4B5E-9016-EE572AC07A0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4BBA-4B5E-9016-EE572AC07A04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4BBA-4B5E-9016-EE572AC07A04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4BBA-4B5E-9016-EE572AC07A0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outEnd"/>
            <c:showLegendKey val="1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 Ingresos'!$E$7:$E$20</c:f>
              <c:strCache>
                <c:ptCount val="14"/>
                <c:pt idx="0">
                  <c:v>Titular – Salario / Sueldo fijo</c:v>
                </c:pt>
                <c:pt idx="1">
                  <c:v>Titular – Ingresos independientes</c:v>
                </c:pt>
                <c:pt idx="2">
                  <c:v>Titular – Horas extra / Bonos</c:v>
                </c:pt>
                <c:pt idx="3">
                  <c:v>Cónyuge / Pareja – Salario fijo</c:v>
                </c:pt>
                <c:pt idx="4">
                  <c:v>Cónyuge / Pareja – Ingresos independientes</c:v>
                </c:pt>
                <c:pt idx="5">
                  <c:v>Hijo/a 1 – Ingresos</c:v>
                </c:pt>
                <c:pt idx="6">
                  <c:v>Hijo/a 2 – Ingresos</c:v>
                </c:pt>
                <c:pt idx="7">
                  <c:v>Otro familiar – Ingresos</c:v>
                </c:pt>
                <c:pt idx="8">
                  <c:v>Arriendos / Alquileres</c:v>
                </c:pt>
                <c:pt idx="9">
                  <c:v>Dividendos / Inversiones</c:v>
                </c:pt>
                <c:pt idx="10">
                  <c:v>Pensión / Jubilación</c:v>
                </c:pt>
                <c:pt idx="11">
                  <c:v>Transferencias / Subsidios</c:v>
                </c:pt>
                <c:pt idx="12">
                  <c:v>Otros ingresos 1</c:v>
                </c:pt>
                <c:pt idx="13">
                  <c:v>Otros ingresos 2</c:v>
                </c:pt>
              </c:strCache>
            </c:strRef>
          </c:cat>
          <c:val>
            <c:numRef>
              <c:f>'2. Ingresos'!$H$7:$H$20</c:f>
              <c:numCache>
                <c:formatCode>"$"#,##0.00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4E-4840-BCD8-D39AA18F47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'3. Gastos'!$F$67</c:f>
              <c:strCache>
                <c:ptCount val="1"/>
                <c:pt idx="0">
                  <c:v>Total Mensual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'3. Gastos'!$E$68:$E$79</c:f>
              <c:strCache>
                <c:ptCount val="12"/>
                <c:pt idx="0">
                  <c:v>VIVIENDA</c:v>
                </c:pt>
                <c:pt idx="1">
                  <c:v>ALIMENTACIÓN</c:v>
                </c:pt>
                <c:pt idx="2">
                  <c:v>TRANSPORTE</c:v>
                </c:pt>
                <c:pt idx="3">
                  <c:v>SALUD</c:v>
                </c:pt>
                <c:pt idx="4">
                  <c:v>EDUCACIÓN</c:v>
                </c:pt>
                <c:pt idx="5">
                  <c:v>ROPA Y CALZADO</c:v>
                </c:pt>
                <c:pt idx="6">
                  <c:v>ENTRETENIMIENTO</c:v>
                </c:pt>
                <c:pt idx="7">
                  <c:v>DEUDAS / CRÉDITOS</c:v>
                </c:pt>
                <c:pt idx="8">
                  <c:v>SEGUROS</c:v>
                </c:pt>
                <c:pt idx="9">
                  <c:v>CUIDADO PERSONAL</c:v>
                </c:pt>
                <c:pt idx="10">
                  <c:v>MASCOTAS</c:v>
                </c:pt>
                <c:pt idx="11">
                  <c:v>GASTOS VARIOS</c:v>
                </c:pt>
              </c:strCache>
            </c:strRef>
          </c:cat>
          <c:val>
            <c:numRef>
              <c:f>'3. Gastos'!$F$68:$F$79</c:f>
              <c:numCache>
                <c:formatCode>"$"#,##0.00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A0-40D3-803C-554D2BCB5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41466896"/>
        <c:axId val="541467376"/>
      </c:barChart>
      <c:catAx>
        <c:axId val="541466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1467376"/>
        <c:crosses val="autoZero"/>
        <c:auto val="1"/>
        <c:lblAlgn val="ctr"/>
        <c:lblOffset val="100"/>
        <c:noMultiLvlLbl val="0"/>
      </c:catAx>
      <c:valAx>
        <c:axId val="541467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1466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419100</xdr:colOff>
      <xdr:row>21</xdr:row>
      <xdr:rowOff>104775</xdr:rowOff>
    </xdr:from>
    <xdr:to>
      <xdr:col>17</xdr:col>
      <xdr:colOff>133350</xdr:colOff>
      <xdr:row>32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1CF1B71-BA64-D31D-33B9-DEEF69C226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80961</xdr:colOff>
      <xdr:row>64</xdr:row>
      <xdr:rowOff>85724</xdr:rowOff>
    </xdr:from>
    <xdr:to>
      <xdr:col>19</xdr:col>
      <xdr:colOff>190500</xdr:colOff>
      <xdr:row>80</xdr:row>
      <xdr:rowOff>19049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1251409-B211-D122-F78E-71394B3A40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42138F7-F937-427C-B523-F474AD723ADE}" name="tbl_ingresos" displayName="tbl_ingresos" ref="E6:M20" totalsRowShown="0" headerRowDxfId="27" dataDxfId="26" tableBorderDxfId="38" headerRowCellStyle="T2">
  <tableColumns count="9">
    <tableColumn id="1" xr3:uid="{340EB074-1658-41E8-9B08-13264E3E30D0}" name="Fuente de Ingreso / Integrante" dataDxfId="33"/>
    <tableColumn id="2" xr3:uid="{D1FE9AED-84D5-4A67-85B5-608B2B518AF7}" name="Tipo de Ingreso" dataDxfId="32"/>
    <tableColumn id="3" xr3:uid="{7176D49F-CF29-4542-A0B4-19091BC00A23}" name="Frecuencia" dataDxfId="31"/>
    <tableColumn id="4" xr3:uid="{F57BD23C-44D0-4153-9438-24781D715A47}" name="Monto Mensual" dataDxfId="30"/>
    <tableColumn id="5" xr3:uid="{4497C306-90DE-47AF-B84E-C521635C77BA}" name="Monto Anual" dataDxfId="21">
      <calculatedColumnFormula>H7*12</calculatedColumnFormula>
    </tableColumn>
    <tableColumn id="6" xr3:uid="{AE5DDA6F-EC4F-4370-9F01-17128C1D997C}" name="% del Total" dataDxfId="20">
      <calculatedColumnFormula>IF(H$21=0,0,H7/H$21)</calculatedColumnFormula>
    </tableColumn>
    <tableColumn id="7" xr3:uid="{83FB5C8E-E581-4A63-BB21-A5EE6B40FA5C}" name="Horas de Trabajo" dataDxfId="29"/>
    <tableColumn id="8" xr3:uid="{BCF59BA0-44CE-4431-95AF-6B845B58C18D}" name="Salario por Hora" dataDxfId="19">
      <calculatedColumnFormula>IFERROR(H7/(K7*24),"")</calculatedColumnFormula>
    </tableColumn>
    <tableColumn id="9" xr3:uid="{54FA3924-55A0-4028-B39D-B117A571FF36}" name="Observaciones" dataDxfId="28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0CFAD9-EF96-4E49-B8B1-DACFD843893E}" name="Tabla4" displayName="Tabla4" ref="E25:H29" totalsRowShown="0" headerRowDxfId="23" dataDxfId="22" tableBorderDxfId="37" headerRowCellStyle="T2">
  <tableColumns count="4">
    <tableColumn id="1" xr3:uid="{A7A7A6AA-B7A1-437E-8A30-F7D34AF619AE}" name="Categoría" dataDxfId="25"/>
    <tableColumn id="3" xr3:uid="{79DB7B0E-D23A-44B8-AB5D-9887272BF1FC}" name="Monto Mensual" dataDxfId="18"/>
    <tableColumn id="5" xr3:uid="{26A2D628-3897-4DB5-A32C-1D5B2932C9D3}" name="% Participación" dataDxfId="17"/>
    <tableColumn id="7" xr3:uid="{A96AD561-BC1C-408F-9471-BF957452C4F8}" name="Observación" dataDxfId="2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549A60-9228-4E90-997A-D1BD43F6C5F4}" name="tbl_gastos" displayName="tbl_gastos" ref="E6:J61" totalsRowShown="0" headerRowDxfId="12" dataDxfId="11" tableBorderDxfId="36" headerRowCellStyle="T2">
  <tableColumns count="6">
    <tableColumn id="1" xr3:uid="{C4B0C401-E59C-4307-A713-1EA3C3D7D168}" name="Categoría de Gasto" dataDxfId="16"/>
    <tableColumn id="2" xr3:uid="{D0E16568-252D-4666-A1DA-4C889EDFAD89}" name="Subcategoría / Detalle" dataDxfId="15"/>
    <tableColumn id="3" xr3:uid="{E41A589F-7EB5-4029-B578-CB598623237E}" name="Monto Mensual" dataDxfId="14"/>
    <tableColumn id="4" xr3:uid="{7A03814D-6190-4670-84AA-E08E81741358}" name="Monto Anual" dataDxfId="6">
      <calculatedColumnFormula>G7*12</calculatedColumnFormula>
    </tableColumn>
    <tableColumn id="5" xr3:uid="{6C04C082-8A25-4202-8233-6CF2A0001ACF}" name="% del Total" dataDxfId="5">
      <calculatedColumnFormula>IF(G$62=0,0,G7/G$62)</calculatedColumnFormula>
    </tableColumn>
    <tableColumn id="6" xr3:uid="{E7D7215E-5E7E-427E-B6C0-AEE4B61E4F1A}" name="Tipo" dataDxfId="13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E7198D5-67C6-453D-B878-E56FAF934830}" name="tbl_resumen_gastos" displayName="tbl_resumen_gastos" ref="E67:J79" totalsRowShown="0" headerRowDxfId="8" dataDxfId="7" tableBorderDxfId="35" totalsRowBorderDxfId="34" headerRowCellStyle="T2">
  <tableColumns count="6">
    <tableColumn id="1" xr3:uid="{D67B3336-FC38-4D37-9305-D04483A92CEE}" name="Categoría" dataDxfId="10"/>
    <tableColumn id="2" xr3:uid="{BAC4F882-6C41-4934-8FCA-5C8FBE623519}" name="Total Mensual" dataDxfId="4">
      <calculatedColumnFormula>SUMIF(tbl_gastos[Categoría de Gasto],E68,tbl_gastos[Monto Mensual])</calculatedColumnFormula>
    </tableColumn>
    <tableColumn id="3" xr3:uid="{309355A3-1D7D-4D5D-9782-A23DDFABF2F8}" name="Total Anual" dataDxfId="3">
      <calculatedColumnFormula>F68*12</calculatedColumnFormula>
    </tableColumn>
    <tableColumn id="4" xr3:uid="{8480FDA7-C633-44BF-B72A-4555F3B215B5}" name="% del Total" dataDxfId="2"/>
    <tableColumn id="5" xr3:uid="{57BE4DF5-FE6E-4DE9-9ECA-9559AA172AFA}" name="Semáforo" dataDxfId="1">
      <calculatedColumnFormula>IF(H68&gt;J68,"⚠️ Revisar","✅ OK")</calculatedColumnFormula>
    </tableColumn>
    <tableColumn id="6" xr3:uid="{7EA65FA3-110F-4ABE-9483-BE2A0537BAAF}" name="Recomendación %" dataDxfId="9" dataCellStyle="Porcentaj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B9CC6-5AB3-4779-A722-0031D3C7852A}">
  <sheetPr>
    <tabColor rgb="FF1A1A1B"/>
  </sheetPr>
  <dimension ref="A1:J18"/>
  <sheetViews>
    <sheetView showGridLines="0" tabSelected="1" workbookViewId="0">
      <selection activeCell="O16" sqref="O16"/>
    </sheetView>
  </sheetViews>
  <sheetFormatPr baseColWidth="10" defaultColWidth="9.140625" defaultRowHeight="15" x14ac:dyDescent="0.25"/>
  <cols>
    <col min="1" max="1" width="1.7109375" style="122" customWidth="1"/>
    <col min="2" max="2" width="1.7109375" style="123" customWidth="1"/>
    <col min="3" max="3" width="1.7109375" style="124" customWidth="1"/>
    <col min="4" max="4" width="1.7109375" style="125" customWidth="1"/>
    <col min="5" max="9" width="22" style="126" customWidth="1"/>
    <col min="10" max="10" width="4" style="126" customWidth="1"/>
    <col min="11" max="16384" width="9.140625" style="126"/>
  </cols>
  <sheetData>
    <row r="1" spans="5:10" ht="9.9499999999999993" customHeight="1" x14ac:dyDescent="0.25"/>
    <row r="2" spans="5:10" ht="45" customHeight="1" x14ac:dyDescent="0.25">
      <c r="E2" s="127" t="s">
        <v>367</v>
      </c>
      <c r="F2" s="127"/>
      <c r="G2" s="127"/>
      <c r="H2" s="127"/>
      <c r="I2" s="127"/>
      <c r="J2" s="127"/>
    </row>
    <row r="3" spans="5:10" ht="50.1" customHeight="1" x14ac:dyDescent="0.25">
      <c r="E3" s="220" t="s">
        <v>1</v>
      </c>
      <c r="F3" s="220"/>
      <c r="G3" s="220"/>
      <c r="H3" s="220"/>
      <c r="I3" s="220"/>
      <c r="J3" s="122"/>
    </row>
    <row r="4" spans="5:10" ht="50.1" customHeight="1" x14ac:dyDescent="0.25">
      <c r="E4" s="220" t="s">
        <v>368</v>
      </c>
      <c r="F4" s="220"/>
      <c r="G4" s="220"/>
      <c r="H4" s="220"/>
      <c r="I4" s="220"/>
      <c r="J4" s="221"/>
    </row>
    <row r="5" spans="5:10" ht="50.1" customHeight="1" x14ac:dyDescent="0.25">
      <c r="E5" s="220" t="s">
        <v>369</v>
      </c>
      <c r="F5" s="220"/>
      <c r="G5" s="220"/>
      <c r="H5" s="220"/>
      <c r="I5" s="220"/>
      <c r="J5" s="124"/>
    </row>
    <row r="6" spans="5:10" ht="50.1" customHeight="1" x14ac:dyDescent="0.25">
      <c r="E6" s="220" t="s">
        <v>370</v>
      </c>
      <c r="F6" s="220"/>
      <c r="G6" s="220"/>
      <c r="H6" s="220"/>
      <c r="I6" s="220"/>
      <c r="J6" s="215"/>
    </row>
    <row r="7" spans="5:10" ht="50.1" customHeight="1" x14ac:dyDescent="0.25">
      <c r="E7" s="220" t="s">
        <v>371</v>
      </c>
      <c r="F7" s="220"/>
      <c r="G7" s="220"/>
      <c r="H7" s="220"/>
      <c r="I7" s="220"/>
      <c r="J7" s="222"/>
    </row>
    <row r="8" spans="5:10" ht="50.1" customHeight="1" x14ac:dyDescent="0.25">
      <c r="E8" s="220" t="s">
        <v>372</v>
      </c>
      <c r="F8" s="220"/>
      <c r="G8" s="220"/>
      <c r="H8" s="220"/>
      <c r="I8" s="220"/>
      <c r="J8" s="223"/>
    </row>
    <row r="10" spans="5:10" ht="15.75" x14ac:dyDescent="0.25">
      <c r="E10" s="154" t="s">
        <v>366</v>
      </c>
    </row>
    <row r="12" spans="5:10" x14ac:dyDescent="0.25">
      <c r="G12" s="217"/>
    </row>
    <row r="13" spans="5:10" x14ac:dyDescent="0.25">
      <c r="H13" s="216"/>
    </row>
    <row r="14" spans="5:10" x14ac:dyDescent="0.25">
      <c r="F14" s="216"/>
      <c r="H14" s="219"/>
    </row>
    <row r="15" spans="5:10" x14ac:dyDescent="0.25">
      <c r="H15" s="219"/>
    </row>
    <row r="18" spans="7:7" x14ac:dyDescent="0.25">
      <c r="G18" s="218"/>
    </row>
  </sheetData>
  <sheetProtection algorithmName="SHA-512" hashValue="vs6A6OIGBWZdBkEz4NkJj3dD4/LaHA2BrtlAoqUzL+Wj30xFFsZfjjy6GgmSqPI+iNQGbsj+e8SjcYfnwCog4w==" saltValue="7M8hWBm55cf3P7glSMIdgg==" spinCount="100000" sheet="1" objects="1" scenarios="1"/>
  <mergeCells count="7">
    <mergeCell ref="E4:I4"/>
    <mergeCell ref="E5:I5"/>
    <mergeCell ref="E6:I6"/>
    <mergeCell ref="E7:I7"/>
    <mergeCell ref="E8:I8"/>
    <mergeCell ref="E3:I3"/>
    <mergeCell ref="E2:J2"/>
  </mergeCells>
  <hyperlinks>
    <hyperlink ref="E3:I3" location="'1. Datos Personales'!A1" display="Hoja 1 · Datos Personales del Hogar" xr:uid="{96C01249-2FC2-4104-9ACC-7861F8310109}"/>
    <hyperlink ref="E4:I4" location="'2. Ingresos'!A1" display="Hoja 2 · Ingresos" xr:uid="{18228537-927A-4EF1-BD86-1DC9F7FFA4C3}"/>
    <hyperlink ref="E5:I5" location="'3. Gastos'!A1" display="Hoja 3 · Gastos" xr:uid="{3555D56E-077C-4F2C-B4C8-1195C3CA88A0}"/>
    <hyperlink ref="E6:I6" location="'4. Ahorro'!A1" display="Hoja 4 · Ahorro" xr:uid="{26A46556-A3D5-438C-9B41-8BFBF9D33D4F}"/>
    <hyperlink ref="E7:I7" location="'5. Ahorro Específico'!A1" display="Hoja 5 · Ahorro Especifico" xr:uid="{105A0EF9-6605-4713-B56E-A61894279131}"/>
    <hyperlink ref="E8:I8" location="'6. Estrategias por Edad'!A1" display="Hoja 6 · Estrategias por Edad" xr:uid="{15A80414-AE16-4D03-9CFA-A95EF17B3A89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A1A1B"/>
  </sheetPr>
  <dimension ref="A1:Q31"/>
  <sheetViews>
    <sheetView showGridLines="0" topLeftCell="A4" workbookViewId="0">
      <selection activeCell="G20" sqref="G20:I20"/>
    </sheetView>
  </sheetViews>
  <sheetFormatPr baseColWidth="10" defaultColWidth="9.140625" defaultRowHeight="15" x14ac:dyDescent="0.25"/>
  <cols>
    <col min="1" max="1" width="1.7109375" style="122" customWidth="1"/>
    <col min="2" max="2" width="1.7109375" style="123" customWidth="1"/>
    <col min="3" max="3" width="1.7109375" style="124" customWidth="1"/>
    <col min="4" max="4" width="1.7109375" style="125" customWidth="1"/>
    <col min="5" max="9" width="22" style="126" customWidth="1"/>
    <col min="10" max="10" width="4" style="126" customWidth="1"/>
    <col min="11" max="16384" width="9.140625" style="126"/>
  </cols>
  <sheetData>
    <row r="1" spans="5:17" ht="9.9499999999999993" customHeight="1" x14ac:dyDescent="0.25"/>
    <row r="2" spans="5:17" ht="45" customHeight="1" x14ac:dyDescent="0.25">
      <c r="E2" s="127" t="s">
        <v>0</v>
      </c>
      <c r="F2" s="128"/>
      <c r="G2" s="128"/>
      <c r="H2" s="128"/>
      <c r="I2" s="128"/>
    </row>
    <row r="3" spans="5:17" ht="24.95" customHeight="1" x14ac:dyDescent="0.25">
      <c r="E3" s="129" t="s">
        <v>1</v>
      </c>
      <c r="F3" s="130"/>
      <c r="G3" s="130"/>
      <c r="H3" s="130"/>
      <c r="I3" s="130"/>
    </row>
    <row r="4" spans="5:17" ht="20.100000000000001" customHeight="1" x14ac:dyDescent="0.25">
      <c r="E4" s="131" t="s">
        <v>2</v>
      </c>
      <c r="F4" s="132"/>
      <c r="G4" s="132"/>
      <c r="H4" s="132"/>
      <c r="I4" s="132"/>
      <c r="M4" s="133"/>
    </row>
    <row r="5" spans="5:17" ht="8.1" customHeight="1" x14ac:dyDescent="0.25"/>
    <row r="6" spans="5:17" ht="24.95" customHeight="1" x14ac:dyDescent="0.25">
      <c r="E6" s="134" t="s">
        <v>3</v>
      </c>
      <c r="F6" s="135"/>
      <c r="G6" s="136"/>
      <c r="H6" s="137" t="s">
        <v>4</v>
      </c>
      <c r="I6" s="135"/>
    </row>
    <row r="7" spans="5:17" ht="8.1" customHeight="1" x14ac:dyDescent="0.25"/>
    <row r="8" spans="5:17" ht="30" customHeight="1" x14ac:dyDescent="0.25">
      <c r="E8" s="138" t="s">
        <v>5</v>
      </c>
      <c r="F8" s="138" t="s">
        <v>6</v>
      </c>
      <c r="G8" s="138" t="s">
        <v>7</v>
      </c>
      <c r="H8" s="138" t="s">
        <v>8</v>
      </c>
      <c r="I8" s="138" t="s">
        <v>9</v>
      </c>
      <c r="O8" s="133"/>
      <c r="P8" s="133"/>
      <c r="Q8" s="133"/>
    </row>
    <row r="9" spans="5:17" ht="21.95" customHeight="1" x14ac:dyDescent="0.25">
      <c r="E9" s="139"/>
      <c r="F9" s="140" t="s">
        <v>10</v>
      </c>
      <c r="G9" s="141"/>
      <c r="H9" s="141"/>
      <c r="I9" s="139"/>
    </row>
    <row r="10" spans="5:17" ht="21.95" customHeight="1" x14ac:dyDescent="0.25">
      <c r="E10" s="142"/>
      <c r="F10" s="143" t="s">
        <v>324</v>
      </c>
      <c r="G10" s="144"/>
      <c r="H10" s="144"/>
      <c r="I10" s="142"/>
    </row>
    <row r="11" spans="5:17" ht="21.95" customHeight="1" x14ac:dyDescent="0.25">
      <c r="E11" s="139"/>
      <c r="F11" s="140" t="s">
        <v>11</v>
      </c>
      <c r="G11" s="141"/>
      <c r="H11" s="141"/>
      <c r="I11" s="139"/>
    </row>
    <row r="12" spans="5:17" ht="21.95" customHeight="1" x14ac:dyDescent="0.25">
      <c r="E12" s="142"/>
      <c r="F12" s="143" t="s">
        <v>12</v>
      </c>
      <c r="G12" s="144"/>
      <c r="H12" s="144"/>
      <c r="I12" s="142"/>
    </row>
    <row r="13" spans="5:17" ht="21.95" customHeight="1" x14ac:dyDescent="0.25">
      <c r="E13" s="139"/>
      <c r="F13" s="140" t="s">
        <v>13</v>
      </c>
      <c r="G13" s="141"/>
      <c r="H13" s="141"/>
      <c r="I13" s="139"/>
    </row>
    <row r="14" spans="5:17" ht="21.95" customHeight="1" x14ac:dyDescent="0.25">
      <c r="E14" s="142"/>
      <c r="F14" s="143" t="s">
        <v>14</v>
      </c>
      <c r="G14" s="144"/>
      <c r="H14" s="144"/>
      <c r="I14" s="142"/>
    </row>
    <row r="15" spans="5:17" ht="21.95" customHeight="1" x14ac:dyDescent="0.25">
      <c r="E15" s="139"/>
      <c r="F15" s="140" t="s">
        <v>15</v>
      </c>
      <c r="G15" s="141"/>
      <c r="H15" s="141"/>
      <c r="I15" s="139"/>
    </row>
    <row r="16" spans="5:17" ht="21.95" customHeight="1" x14ac:dyDescent="0.25">
      <c r="E16" s="142"/>
      <c r="F16" s="143" t="s">
        <v>16</v>
      </c>
      <c r="G16" s="144"/>
      <c r="H16" s="144"/>
      <c r="I16" s="142"/>
    </row>
    <row r="18" spans="5:9" ht="8.1" customHeight="1" x14ac:dyDescent="0.25"/>
    <row r="19" spans="5:9" ht="27.95" customHeight="1" x14ac:dyDescent="0.25">
      <c r="E19" s="145" t="s">
        <v>17</v>
      </c>
      <c r="F19" s="146"/>
      <c r="G19" s="146"/>
      <c r="H19" s="146"/>
      <c r="I19" s="146"/>
    </row>
    <row r="20" spans="5:9" ht="21.95" customHeight="1" x14ac:dyDescent="0.25">
      <c r="E20" s="147" t="s">
        <v>18</v>
      </c>
      <c r="F20" s="57"/>
      <c r="G20" s="148"/>
      <c r="H20" s="57"/>
      <c r="I20" s="57"/>
    </row>
    <row r="21" spans="5:9" ht="21.95" customHeight="1" x14ac:dyDescent="0.25">
      <c r="E21" s="147" t="s">
        <v>19</v>
      </c>
      <c r="F21" s="57"/>
      <c r="G21" s="149"/>
      <c r="H21" s="57"/>
      <c r="I21" s="57"/>
    </row>
    <row r="22" spans="5:9" ht="21.95" customHeight="1" x14ac:dyDescent="0.25">
      <c r="E22" s="147" t="s">
        <v>20</v>
      </c>
      <c r="F22" s="57"/>
      <c r="G22" s="148"/>
      <c r="H22" s="57"/>
      <c r="I22" s="57"/>
    </row>
    <row r="23" spans="5:9" ht="21.95" customHeight="1" x14ac:dyDescent="0.25">
      <c r="E23" s="147" t="s">
        <v>21</v>
      </c>
      <c r="F23" s="57"/>
      <c r="G23" s="149"/>
      <c r="H23" s="57"/>
      <c r="I23" s="57"/>
    </row>
    <row r="24" spans="5:9" ht="21.95" customHeight="1" x14ac:dyDescent="0.25">
      <c r="E24" s="147" t="s">
        <v>22</v>
      </c>
      <c r="F24" s="57"/>
      <c r="G24" s="148"/>
      <c r="H24" s="57"/>
      <c r="I24" s="57"/>
    </row>
    <row r="25" spans="5:9" ht="21.95" customHeight="1" x14ac:dyDescent="0.25">
      <c r="E25" s="147" t="s">
        <v>23</v>
      </c>
      <c r="F25" s="57"/>
      <c r="G25" s="150"/>
      <c r="H25" s="57"/>
      <c r="I25" s="57"/>
    </row>
    <row r="27" spans="5:9" ht="8.1" customHeight="1" x14ac:dyDescent="0.25"/>
    <row r="28" spans="5:9" ht="35.1" customHeight="1" x14ac:dyDescent="0.25">
      <c r="E28" s="151" t="s">
        <v>24</v>
      </c>
      <c r="F28" s="152"/>
      <c r="G28" s="152"/>
      <c r="H28" s="152"/>
      <c r="I28" s="152"/>
    </row>
    <row r="31" spans="5:9" ht="15.75" x14ac:dyDescent="0.25">
      <c r="E31" s="154" t="s">
        <v>366</v>
      </c>
    </row>
  </sheetData>
  <sheetProtection algorithmName="SHA-512" hashValue="nogNifqvJ/6syzHREUDuXk2WcDaouUBCJUnxVOseRXsy2gIio8hsyzhkcl7TurPPsdsRD+8q7lULXwukC34Wfg==" saltValue="PWFJLFuZJuylYtQaVQkUaw==" spinCount="100000" sheet="1" objects="1" scenarios="1"/>
  <mergeCells count="19">
    <mergeCell ref="E2:I2"/>
    <mergeCell ref="E23:F23"/>
    <mergeCell ref="G25:I25"/>
    <mergeCell ref="G24:I24"/>
    <mergeCell ref="H6:I6"/>
    <mergeCell ref="G23:I23"/>
    <mergeCell ref="E4:I4"/>
    <mergeCell ref="E25:F25"/>
    <mergeCell ref="E3:I3"/>
    <mergeCell ref="E22:F22"/>
    <mergeCell ref="E21:F21"/>
    <mergeCell ref="E28:I28"/>
    <mergeCell ref="E19:I19"/>
    <mergeCell ref="G20:I20"/>
    <mergeCell ref="E6:F6"/>
    <mergeCell ref="E24:F24"/>
    <mergeCell ref="E20:F20"/>
    <mergeCell ref="G22:I22"/>
    <mergeCell ref="G21:I21"/>
  </mergeCells>
  <dataValidations count="1">
    <dataValidation type="whole" showErrorMessage="1" errorTitle="Valor inválido" error="Ingrese un número entre 1 y 8." sqref="G6" xr:uid="{00000000-0002-0000-0000-000000000000}">
      <formula1>1</formula1>
      <formula2>8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A1A1B"/>
  </sheetPr>
  <dimension ref="A1:M32"/>
  <sheetViews>
    <sheetView showGridLines="0" workbookViewId="0"/>
  </sheetViews>
  <sheetFormatPr baseColWidth="10" defaultColWidth="9.140625" defaultRowHeight="15" x14ac:dyDescent="0.25"/>
  <cols>
    <col min="1" max="1" width="1.7109375" style="122" customWidth="1"/>
    <col min="2" max="2" width="1.7109375" style="123" customWidth="1"/>
    <col min="3" max="3" width="1.7109375" style="124" customWidth="1"/>
    <col min="4" max="4" width="3" style="126" customWidth="1"/>
    <col min="5" max="5" width="35.7109375" style="126" bestFit="1" customWidth="1"/>
    <col min="6" max="6" width="18.7109375" style="126" bestFit="1" customWidth="1"/>
    <col min="7" max="7" width="16.28515625" style="126" bestFit="1" customWidth="1"/>
    <col min="8" max="8" width="18.140625" style="126" bestFit="1" customWidth="1"/>
    <col min="9" max="9" width="14" style="126" bestFit="1" customWidth="1"/>
    <col min="10" max="10" width="11.85546875" style="126" bestFit="1" customWidth="1"/>
    <col min="11" max="11" width="17.7109375" style="126" bestFit="1" customWidth="1"/>
    <col min="12" max="12" width="17.140625" style="126" bestFit="1" customWidth="1"/>
    <col min="13" max="13" width="15.140625" style="126" bestFit="1" customWidth="1"/>
    <col min="14" max="14" width="3" style="126" customWidth="1"/>
    <col min="15" max="16384" width="9.140625" style="126"/>
  </cols>
  <sheetData>
    <row r="1" spans="5:13" ht="9.9499999999999993" customHeight="1" x14ac:dyDescent="0.25"/>
    <row r="2" spans="5:13" ht="45" customHeight="1" x14ac:dyDescent="0.25">
      <c r="E2" s="155" t="s">
        <v>25</v>
      </c>
      <c r="F2" s="156"/>
      <c r="G2" s="156"/>
      <c r="H2" s="156"/>
      <c r="I2" s="156"/>
      <c r="J2" s="156"/>
      <c r="K2" s="156"/>
      <c r="L2" s="156"/>
      <c r="M2" s="156"/>
    </row>
    <row r="3" spans="5:13" ht="21.95" customHeight="1" x14ac:dyDescent="0.25">
      <c r="E3" s="145" t="s">
        <v>26</v>
      </c>
      <c r="F3" s="146"/>
      <c r="G3" s="146"/>
      <c r="H3" s="146"/>
      <c r="I3" s="146"/>
      <c r="J3" s="146"/>
      <c r="K3" s="146"/>
      <c r="L3" s="146"/>
      <c r="M3" s="146"/>
    </row>
    <row r="5" spans="5:13" ht="8.1" customHeight="1" x14ac:dyDescent="0.25"/>
    <row r="6" spans="5:13" ht="27.95" customHeight="1" x14ac:dyDescent="0.25">
      <c r="E6" s="153" t="s">
        <v>27</v>
      </c>
      <c r="F6" s="153" t="s">
        <v>28</v>
      </c>
      <c r="G6" s="153" t="s">
        <v>29</v>
      </c>
      <c r="H6" s="153" t="s">
        <v>30</v>
      </c>
      <c r="I6" s="153" t="s">
        <v>31</v>
      </c>
      <c r="J6" s="153" t="s">
        <v>32</v>
      </c>
      <c r="K6" s="153" t="s">
        <v>353</v>
      </c>
      <c r="L6" s="153" t="s">
        <v>354</v>
      </c>
      <c r="M6" s="153" t="s">
        <v>33</v>
      </c>
    </row>
    <row r="7" spans="5:13" ht="20.100000000000001" customHeight="1" x14ac:dyDescent="0.25">
      <c r="E7" s="116" t="s">
        <v>34</v>
      </c>
      <c r="F7" s="118" t="s">
        <v>35</v>
      </c>
      <c r="G7" s="118" t="s">
        <v>36</v>
      </c>
      <c r="H7" s="101">
        <v>0</v>
      </c>
      <c r="I7" s="28">
        <f t="shared" ref="I7:I20" si="0">H7*12</f>
        <v>0</v>
      </c>
      <c r="J7" s="32">
        <f>IF(H$21=0,0,H7/H$21)</f>
        <v>0</v>
      </c>
      <c r="K7" s="120"/>
      <c r="L7" s="28" t="str">
        <f t="shared" ref="L7:L20" si="1">IFERROR(H7/(K7*24),"")</f>
        <v/>
      </c>
      <c r="M7" s="157"/>
    </row>
    <row r="8" spans="5:13" ht="20.100000000000001" customHeight="1" x14ac:dyDescent="0.25">
      <c r="E8" s="117" t="s">
        <v>37</v>
      </c>
      <c r="F8" s="119" t="s">
        <v>38</v>
      </c>
      <c r="G8" s="119" t="s">
        <v>39</v>
      </c>
      <c r="H8" s="101">
        <v>0</v>
      </c>
      <c r="I8" s="28">
        <f t="shared" si="0"/>
        <v>0</v>
      </c>
      <c r="J8" s="32">
        <f t="shared" ref="J8:J20" si="2">IF(H$21=0,0,H8/H$21)</f>
        <v>0</v>
      </c>
      <c r="K8" s="121"/>
      <c r="L8" s="28" t="str">
        <f t="shared" si="1"/>
        <v/>
      </c>
      <c r="M8" s="158"/>
    </row>
    <row r="9" spans="5:13" ht="20.100000000000001" customHeight="1" x14ac:dyDescent="0.25">
      <c r="E9" s="116" t="s">
        <v>40</v>
      </c>
      <c r="F9" s="118" t="s">
        <v>35</v>
      </c>
      <c r="G9" s="118" t="s">
        <v>41</v>
      </c>
      <c r="H9" s="101">
        <v>0</v>
      </c>
      <c r="I9" s="28">
        <f t="shared" si="0"/>
        <v>0</v>
      </c>
      <c r="J9" s="32">
        <f t="shared" si="2"/>
        <v>0</v>
      </c>
      <c r="K9" s="120"/>
      <c r="L9" s="28" t="str">
        <f t="shared" si="1"/>
        <v/>
      </c>
      <c r="M9" s="157"/>
    </row>
    <row r="10" spans="5:13" ht="20.100000000000001" customHeight="1" x14ac:dyDescent="0.25">
      <c r="E10" s="117" t="s">
        <v>42</v>
      </c>
      <c r="F10" s="119" t="s">
        <v>35</v>
      </c>
      <c r="G10" s="119" t="s">
        <v>36</v>
      </c>
      <c r="H10" s="101">
        <v>0</v>
      </c>
      <c r="I10" s="28">
        <f t="shared" si="0"/>
        <v>0</v>
      </c>
      <c r="J10" s="32">
        <f t="shared" si="2"/>
        <v>0</v>
      </c>
      <c r="K10" s="121"/>
      <c r="L10" s="28" t="str">
        <f t="shared" si="1"/>
        <v/>
      </c>
      <c r="M10" s="158"/>
    </row>
    <row r="11" spans="5:13" ht="20.100000000000001" customHeight="1" x14ac:dyDescent="0.25">
      <c r="E11" s="116" t="s">
        <v>43</v>
      </c>
      <c r="F11" s="118" t="s">
        <v>38</v>
      </c>
      <c r="G11" s="118" t="s">
        <v>39</v>
      </c>
      <c r="H11" s="101">
        <v>0</v>
      </c>
      <c r="I11" s="28">
        <f t="shared" si="0"/>
        <v>0</v>
      </c>
      <c r="J11" s="32">
        <f t="shared" si="2"/>
        <v>0</v>
      </c>
      <c r="K11" s="120"/>
      <c r="L11" s="28" t="str">
        <f t="shared" si="1"/>
        <v/>
      </c>
      <c r="M11" s="157"/>
    </row>
    <row r="12" spans="5:13" ht="20.100000000000001" customHeight="1" x14ac:dyDescent="0.25">
      <c r="E12" s="117" t="s">
        <v>44</v>
      </c>
      <c r="F12" s="118" t="s">
        <v>35</v>
      </c>
      <c r="G12" s="119" t="s">
        <v>36</v>
      </c>
      <c r="H12" s="101">
        <v>0</v>
      </c>
      <c r="I12" s="28">
        <f t="shared" si="0"/>
        <v>0</v>
      </c>
      <c r="J12" s="32">
        <f t="shared" si="2"/>
        <v>0</v>
      </c>
      <c r="K12" s="121"/>
      <c r="L12" s="28" t="str">
        <f t="shared" si="1"/>
        <v/>
      </c>
      <c r="M12" s="158"/>
    </row>
    <row r="13" spans="5:13" ht="20.100000000000001" customHeight="1" x14ac:dyDescent="0.25">
      <c r="E13" s="116" t="s">
        <v>45</v>
      </c>
      <c r="F13" s="118" t="s">
        <v>35</v>
      </c>
      <c r="G13" s="118" t="s">
        <v>36</v>
      </c>
      <c r="H13" s="101">
        <v>0</v>
      </c>
      <c r="I13" s="28">
        <f t="shared" si="0"/>
        <v>0</v>
      </c>
      <c r="J13" s="32">
        <f t="shared" si="2"/>
        <v>0</v>
      </c>
      <c r="K13" s="120"/>
      <c r="L13" s="28" t="str">
        <f t="shared" si="1"/>
        <v/>
      </c>
      <c r="M13" s="157"/>
    </row>
    <row r="14" spans="5:13" ht="20.100000000000001" customHeight="1" x14ac:dyDescent="0.25">
      <c r="E14" s="117" t="s">
        <v>46</v>
      </c>
      <c r="F14" s="118" t="s">
        <v>35</v>
      </c>
      <c r="G14" s="119" t="s">
        <v>36</v>
      </c>
      <c r="H14" s="101">
        <v>0</v>
      </c>
      <c r="I14" s="28">
        <f t="shared" si="0"/>
        <v>0</v>
      </c>
      <c r="J14" s="32">
        <f t="shared" si="2"/>
        <v>0</v>
      </c>
      <c r="K14" s="121"/>
      <c r="L14" s="28" t="str">
        <f t="shared" si="1"/>
        <v/>
      </c>
      <c r="M14" s="158"/>
    </row>
    <row r="15" spans="5:13" ht="20.100000000000001" customHeight="1" x14ac:dyDescent="0.25">
      <c r="E15" s="116" t="s">
        <v>47</v>
      </c>
      <c r="F15" s="118" t="s">
        <v>48</v>
      </c>
      <c r="G15" s="118" t="s">
        <v>36</v>
      </c>
      <c r="H15" s="101">
        <v>0</v>
      </c>
      <c r="I15" s="28">
        <f t="shared" si="0"/>
        <v>0</v>
      </c>
      <c r="J15" s="32">
        <f t="shared" si="2"/>
        <v>0</v>
      </c>
      <c r="K15" s="120"/>
      <c r="L15" s="28" t="str">
        <f t="shared" si="1"/>
        <v/>
      </c>
      <c r="M15" s="157"/>
    </row>
    <row r="16" spans="5:13" ht="20.100000000000001" customHeight="1" x14ac:dyDescent="0.25">
      <c r="E16" s="117" t="s">
        <v>49</v>
      </c>
      <c r="F16" s="119" t="s">
        <v>48</v>
      </c>
      <c r="G16" s="119" t="s">
        <v>39</v>
      </c>
      <c r="H16" s="101">
        <v>0</v>
      </c>
      <c r="I16" s="28">
        <f t="shared" si="0"/>
        <v>0</v>
      </c>
      <c r="J16" s="32">
        <f t="shared" si="2"/>
        <v>0</v>
      </c>
      <c r="K16" s="121"/>
      <c r="L16" s="28" t="str">
        <f t="shared" si="1"/>
        <v/>
      </c>
      <c r="M16" s="158"/>
    </row>
    <row r="17" spans="5:13" ht="20.100000000000001" customHeight="1" x14ac:dyDescent="0.25">
      <c r="E17" s="116" t="s">
        <v>50</v>
      </c>
      <c r="F17" s="118" t="s">
        <v>53</v>
      </c>
      <c r="G17" s="118" t="s">
        <v>36</v>
      </c>
      <c r="H17" s="101">
        <v>0</v>
      </c>
      <c r="I17" s="28">
        <f t="shared" si="0"/>
        <v>0</v>
      </c>
      <c r="J17" s="32">
        <f t="shared" si="2"/>
        <v>0</v>
      </c>
      <c r="K17" s="120"/>
      <c r="L17" s="28" t="str">
        <f t="shared" si="1"/>
        <v/>
      </c>
      <c r="M17" s="157"/>
    </row>
    <row r="18" spans="5:13" ht="20.100000000000001" customHeight="1" x14ac:dyDescent="0.25">
      <c r="E18" s="117" t="s">
        <v>51</v>
      </c>
      <c r="F18" s="119" t="s">
        <v>53</v>
      </c>
      <c r="G18" s="119" t="s">
        <v>39</v>
      </c>
      <c r="H18" s="101">
        <v>0</v>
      </c>
      <c r="I18" s="28">
        <f t="shared" si="0"/>
        <v>0</v>
      </c>
      <c r="J18" s="32">
        <f t="shared" si="2"/>
        <v>0</v>
      </c>
      <c r="K18" s="121"/>
      <c r="L18" s="28" t="str">
        <f t="shared" si="1"/>
        <v/>
      </c>
      <c r="M18" s="158"/>
    </row>
    <row r="19" spans="5:13" ht="20.100000000000001" customHeight="1" x14ac:dyDescent="0.25">
      <c r="E19" s="116" t="s">
        <v>52</v>
      </c>
      <c r="F19" s="118" t="s">
        <v>53</v>
      </c>
      <c r="G19" s="118" t="s">
        <v>39</v>
      </c>
      <c r="H19" s="101">
        <v>0</v>
      </c>
      <c r="I19" s="28">
        <f t="shared" si="0"/>
        <v>0</v>
      </c>
      <c r="J19" s="32">
        <f t="shared" si="2"/>
        <v>0</v>
      </c>
      <c r="K19" s="120"/>
      <c r="L19" s="28" t="str">
        <f t="shared" si="1"/>
        <v/>
      </c>
      <c r="M19" s="157"/>
    </row>
    <row r="20" spans="5:13" ht="20.100000000000001" customHeight="1" x14ac:dyDescent="0.25">
      <c r="E20" s="117" t="s">
        <v>54</v>
      </c>
      <c r="F20" s="119" t="s">
        <v>53</v>
      </c>
      <c r="G20" s="119" t="s">
        <v>39</v>
      </c>
      <c r="H20" s="101">
        <v>0</v>
      </c>
      <c r="I20" s="28">
        <f t="shared" si="0"/>
        <v>0</v>
      </c>
      <c r="J20" s="32">
        <f t="shared" si="2"/>
        <v>0</v>
      </c>
      <c r="K20" s="121"/>
      <c r="L20" s="28" t="str">
        <f t="shared" si="1"/>
        <v/>
      </c>
      <c r="M20" s="158"/>
    </row>
    <row r="21" spans="5:13" ht="24.95" customHeight="1" x14ac:dyDescent="0.25">
      <c r="E21" s="159" t="s">
        <v>55</v>
      </c>
      <c r="F21" s="135"/>
      <c r="G21" s="135"/>
      <c r="H21" s="37">
        <f>SUM(H7:H20)</f>
        <v>0</v>
      </c>
      <c r="I21" s="37">
        <f>SUM(I7:I20)</f>
        <v>0</v>
      </c>
      <c r="J21" s="160">
        <v>1</v>
      </c>
    </row>
    <row r="23" spans="5:13" ht="36" customHeight="1" x14ac:dyDescent="0.25"/>
    <row r="24" spans="5:13" ht="27.95" customHeight="1" x14ac:dyDescent="0.25">
      <c r="E24" s="161" t="s">
        <v>56</v>
      </c>
      <c r="F24" s="156"/>
      <c r="G24" s="156"/>
      <c r="H24" s="156"/>
      <c r="I24" s="156"/>
      <c r="J24" s="156"/>
      <c r="K24" s="156"/>
    </row>
    <row r="25" spans="5:13" ht="15.75" x14ac:dyDescent="0.25">
      <c r="E25" s="153" t="s">
        <v>57</v>
      </c>
      <c r="F25" s="153" t="s">
        <v>30</v>
      </c>
      <c r="G25" s="153" t="s">
        <v>58</v>
      </c>
      <c r="H25" s="153" t="s">
        <v>59</v>
      </c>
    </row>
    <row r="26" spans="5:13" ht="20.100000000000001" customHeight="1" x14ac:dyDescent="0.25">
      <c r="E26" s="116" t="s">
        <v>60</v>
      </c>
      <c r="F26" s="48">
        <f>SUMIF(F7:F20,"Laboral dependiente",H7:H20)</f>
        <v>0</v>
      </c>
      <c r="G26" s="32">
        <f>IF(H21=0,0,F26/H21)</f>
        <v>0</v>
      </c>
      <c r="H26" s="162" t="s">
        <v>61</v>
      </c>
    </row>
    <row r="27" spans="5:13" ht="20.100000000000001" customHeight="1" x14ac:dyDescent="0.25">
      <c r="E27" s="163" t="s">
        <v>325</v>
      </c>
      <c r="F27" s="48">
        <f>SUMIF(F7:F20,"laboral independiente",H7:H20)</f>
        <v>0</v>
      </c>
      <c r="G27" s="32">
        <f>IF(H21=0,0,F27/H21)</f>
        <v>0</v>
      </c>
      <c r="H27" s="164" t="s">
        <v>62</v>
      </c>
    </row>
    <row r="28" spans="5:13" ht="20.100000000000001" customHeight="1" x14ac:dyDescent="0.25">
      <c r="E28" s="116" t="s">
        <v>63</v>
      </c>
      <c r="F28" s="48">
        <f>SUMIF(F7:F20,"Pasivo",H7:H20)</f>
        <v>0</v>
      </c>
      <c r="G28" s="32">
        <f>IF(H21=0,0,F28/H21)</f>
        <v>0</v>
      </c>
      <c r="H28" s="162" t="s">
        <v>64</v>
      </c>
    </row>
    <row r="29" spans="5:13" ht="20.100000000000001" customHeight="1" x14ac:dyDescent="0.25">
      <c r="E29" s="163" t="s">
        <v>326</v>
      </c>
      <c r="F29" s="48">
        <f>SUMIF(F7:F20,"Otro",H7:H20)</f>
        <v>0</v>
      </c>
      <c r="G29" s="32">
        <f>IF(H21=0,0,F29/H21)</f>
        <v>0</v>
      </c>
      <c r="H29" s="164" t="s">
        <v>65</v>
      </c>
    </row>
    <row r="32" spans="5:13" ht="15.75" x14ac:dyDescent="0.25">
      <c r="E32" s="153" t="s">
        <v>366</v>
      </c>
    </row>
  </sheetData>
  <sheetProtection algorithmName="SHA-512" hashValue="xrTtFKAUlWSUb9r1CLxbe9vMPTqGyMX6QhWB7W2R0uT3Ib7mGjZGQ6DAlh+s8Ypj1ws0M3s+F/ijenmKuspGrQ==" saltValue="8WhHrEyYQZXpvSX9LYFWIA==" spinCount="100000" sheet="1" objects="1" scenarios="1"/>
  <mergeCells count="4">
    <mergeCell ref="E2:M2"/>
    <mergeCell ref="E3:M3"/>
    <mergeCell ref="E24:K24"/>
    <mergeCell ref="E21:G21"/>
  </mergeCells>
  <phoneticPr fontId="48" type="noConversion"/>
  <pageMargins left="0.75" right="0.75" top="1" bottom="1" header="0.5" footer="0.5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A1A1B"/>
  </sheetPr>
  <dimension ref="A1:M90"/>
  <sheetViews>
    <sheetView showGridLines="0" workbookViewId="0"/>
  </sheetViews>
  <sheetFormatPr baseColWidth="10" defaultColWidth="9.140625" defaultRowHeight="15" x14ac:dyDescent="0.25"/>
  <cols>
    <col min="1" max="1" width="1.7109375" style="122" customWidth="1"/>
    <col min="2" max="2" width="1.7109375" style="123" customWidth="1"/>
    <col min="3" max="3" width="1.7109375" style="124" customWidth="1"/>
    <col min="4" max="4" width="3" style="126" customWidth="1"/>
    <col min="5" max="5" width="26" style="126" customWidth="1"/>
    <col min="6" max="6" width="31.140625" style="126" bestFit="1" customWidth="1"/>
    <col min="7" max="7" width="19.85546875" style="126" customWidth="1"/>
    <col min="8" max="9" width="16" style="126" customWidth="1"/>
    <col min="10" max="10" width="24.7109375" style="126" customWidth="1"/>
    <col min="11" max="11" width="3" style="126" customWidth="1"/>
    <col min="12" max="16384" width="9.140625" style="126"/>
  </cols>
  <sheetData>
    <row r="1" spans="1:10" ht="9.9499999999999993" customHeight="1" x14ac:dyDescent="0.25">
      <c r="A1" s="122">
        <v>1</v>
      </c>
    </row>
    <row r="2" spans="1:10" ht="45" customHeight="1" x14ac:dyDescent="0.25">
      <c r="E2" s="155" t="s">
        <v>66</v>
      </c>
      <c r="F2" s="156"/>
      <c r="G2" s="156"/>
      <c r="H2" s="156"/>
      <c r="I2" s="156"/>
      <c r="J2" s="156"/>
    </row>
    <row r="3" spans="1:10" ht="21.95" customHeight="1" x14ac:dyDescent="0.25">
      <c r="E3" s="145" t="s">
        <v>67</v>
      </c>
      <c r="F3" s="146"/>
      <c r="G3" s="146"/>
      <c r="H3" s="146"/>
      <c r="I3" s="146"/>
      <c r="J3" s="146"/>
    </row>
    <row r="4" spans="1:10" ht="10.5" customHeight="1" x14ac:dyDescent="0.25"/>
    <row r="5" spans="1:10" ht="10.5" customHeight="1" x14ac:dyDescent="0.25"/>
    <row r="6" spans="1:10" ht="27.95" customHeight="1" thickBot="1" x14ac:dyDescent="0.3">
      <c r="E6" s="153" t="s">
        <v>68</v>
      </c>
      <c r="F6" s="153" t="s">
        <v>69</v>
      </c>
      <c r="G6" s="153" t="s">
        <v>30</v>
      </c>
      <c r="H6" s="153" t="s">
        <v>31</v>
      </c>
      <c r="I6" s="153" t="s">
        <v>32</v>
      </c>
      <c r="J6" s="153" t="s">
        <v>70</v>
      </c>
    </row>
    <row r="7" spans="1:10" ht="20.100000000000001" customHeight="1" thickBot="1" x14ac:dyDescent="0.3">
      <c r="E7" s="104" t="s">
        <v>71</v>
      </c>
      <c r="F7" s="102" t="s">
        <v>72</v>
      </c>
      <c r="G7" s="101">
        <v>0</v>
      </c>
      <c r="H7" s="28">
        <f t="shared" ref="H7:H61" si="0">G7*12</f>
        <v>0</v>
      </c>
      <c r="I7" s="32">
        <f t="shared" ref="I7:I53" si="1">IF(G$62=0,0,G7/G$62)</f>
        <v>0</v>
      </c>
      <c r="J7" s="165" t="s">
        <v>73</v>
      </c>
    </row>
    <row r="8" spans="1:10" ht="20.100000000000001" customHeight="1" thickBot="1" x14ac:dyDescent="0.3">
      <c r="E8" s="104" t="s">
        <v>71</v>
      </c>
      <c r="F8" s="103" t="s">
        <v>328</v>
      </c>
      <c r="G8" s="101">
        <v>0</v>
      </c>
      <c r="H8" s="28">
        <f t="shared" si="0"/>
        <v>0</v>
      </c>
      <c r="I8" s="32">
        <f t="shared" si="1"/>
        <v>0</v>
      </c>
      <c r="J8" s="165" t="s">
        <v>73</v>
      </c>
    </row>
    <row r="9" spans="1:10" ht="20.100000000000001" customHeight="1" thickBot="1" x14ac:dyDescent="0.3">
      <c r="E9" s="104" t="s">
        <v>71</v>
      </c>
      <c r="F9" s="103" t="s">
        <v>329</v>
      </c>
      <c r="G9" s="101">
        <v>0</v>
      </c>
      <c r="H9" s="28">
        <f t="shared" si="0"/>
        <v>0</v>
      </c>
      <c r="I9" s="32">
        <f t="shared" si="1"/>
        <v>0</v>
      </c>
      <c r="J9" s="165" t="s">
        <v>73</v>
      </c>
    </row>
    <row r="10" spans="1:10" ht="20.100000000000001" customHeight="1" thickBot="1" x14ac:dyDescent="0.3">
      <c r="E10" s="104" t="s">
        <v>71</v>
      </c>
      <c r="F10" s="103" t="s">
        <v>330</v>
      </c>
      <c r="G10" s="101">
        <v>0</v>
      </c>
      <c r="H10" s="28">
        <f t="shared" si="0"/>
        <v>0</v>
      </c>
      <c r="I10" s="32">
        <f t="shared" si="1"/>
        <v>0</v>
      </c>
      <c r="J10" s="165" t="s">
        <v>73</v>
      </c>
    </row>
    <row r="11" spans="1:10" ht="20.100000000000001" customHeight="1" thickBot="1" x14ac:dyDescent="0.3">
      <c r="E11" s="104" t="s">
        <v>71</v>
      </c>
      <c r="F11" s="102" t="s">
        <v>333</v>
      </c>
      <c r="G11" s="101">
        <v>0</v>
      </c>
      <c r="H11" s="28">
        <f t="shared" si="0"/>
        <v>0</v>
      </c>
      <c r="I11" s="32">
        <f t="shared" si="1"/>
        <v>0</v>
      </c>
      <c r="J11" s="165" t="s">
        <v>73</v>
      </c>
    </row>
    <row r="12" spans="1:10" ht="20.100000000000001" customHeight="1" thickBot="1" x14ac:dyDescent="0.3">
      <c r="E12" s="104" t="s">
        <v>71</v>
      </c>
      <c r="F12" s="102" t="s">
        <v>331</v>
      </c>
      <c r="G12" s="101">
        <v>0</v>
      </c>
      <c r="H12" s="28">
        <f t="shared" si="0"/>
        <v>0</v>
      </c>
      <c r="I12" s="32">
        <f t="shared" si="1"/>
        <v>0</v>
      </c>
      <c r="J12" s="165" t="s">
        <v>73</v>
      </c>
    </row>
    <row r="13" spans="1:10" ht="20.100000000000001" customHeight="1" thickBot="1" x14ac:dyDescent="0.3">
      <c r="E13" s="104" t="s">
        <v>71</v>
      </c>
      <c r="F13" s="102" t="s">
        <v>332</v>
      </c>
      <c r="G13" s="101">
        <v>0</v>
      </c>
      <c r="H13" s="28">
        <f t="shared" si="0"/>
        <v>0</v>
      </c>
      <c r="I13" s="32">
        <f t="shared" si="1"/>
        <v>0</v>
      </c>
      <c r="J13" s="165" t="s">
        <v>73</v>
      </c>
    </row>
    <row r="14" spans="1:10" ht="20.100000000000001" customHeight="1" thickBot="1" x14ac:dyDescent="0.3">
      <c r="E14" s="104" t="s">
        <v>71</v>
      </c>
      <c r="F14" s="103" t="s">
        <v>74</v>
      </c>
      <c r="G14" s="101">
        <v>0</v>
      </c>
      <c r="H14" s="28">
        <f t="shared" si="0"/>
        <v>0</v>
      </c>
      <c r="I14" s="32">
        <f t="shared" si="1"/>
        <v>0</v>
      </c>
      <c r="J14" s="165" t="s">
        <v>73</v>
      </c>
    </row>
    <row r="15" spans="1:10" ht="20.100000000000001" customHeight="1" thickBot="1" x14ac:dyDescent="0.3">
      <c r="E15" s="104" t="s">
        <v>71</v>
      </c>
      <c r="F15" s="102" t="s">
        <v>334</v>
      </c>
      <c r="G15" s="101">
        <v>0</v>
      </c>
      <c r="H15" s="28">
        <f t="shared" si="0"/>
        <v>0</v>
      </c>
      <c r="I15" s="32">
        <f t="shared" si="1"/>
        <v>0</v>
      </c>
      <c r="J15" s="165" t="s">
        <v>39</v>
      </c>
    </row>
    <row r="16" spans="1:10" ht="20.100000000000001" customHeight="1" thickBot="1" x14ac:dyDescent="0.3">
      <c r="E16" s="104" t="s">
        <v>71</v>
      </c>
      <c r="F16" s="102" t="s">
        <v>335</v>
      </c>
      <c r="G16" s="101">
        <v>0</v>
      </c>
      <c r="H16" s="28">
        <f t="shared" si="0"/>
        <v>0</v>
      </c>
      <c r="I16" s="32">
        <f t="shared" si="1"/>
        <v>0</v>
      </c>
      <c r="J16" s="165" t="s">
        <v>39</v>
      </c>
    </row>
    <row r="17" spans="5:10" ht="20.100000000000001" customHeight="1" thickBot="1" x14ac:dyDescent="0.3">
      <c r="E17" s="105" t="s">
        <v>75</v>
      </c>
      <c r="F17" s="103" t="s">
        <v>76</v>
      </c>
      <c r="G17" s="101">
        <v>0</v>
      </c>
      <c r="H17" s="28">
        <f t="shared" si="0"/>
        <v>0</v>
      </c>
      <c r="I17" s="32">
        <f t="shared" si="1"/>
        <v>0</v>
      </c>
      <c r="J17" s="166" t="s">
        <v>73</v>
      </c>
    </row>
    <row r="18" spans="5:10" ht="20.100000000000001" customHeight="1" thickBot="1" x14ac:dyDescent="0.3">
      <c r="E18" s="105" t="s">
        <v>75</v>
      </c>
      <c r="F18" s="102" t="s">
        <v>77</v>
      </c>
      <c r="G18" s="101">
        <v>0</v>
      </c>
      <c r="H18" s="28">
        <f t="shared" si="0"/>
        <v>0</v>
      </c>
      <c r="I18" s="32">
        <f t="shared" si="1"/>
        <v>0</v>
      </c>
      <c r="J18" s="166" t="s">
        <v>39</v>
      </c>
    </row>
    <row r="19" spans="5:10" ht="20.100000000000001" customHeight="1" thickBot="1" x14ac:dyDescent="0.3">
      <c r="E19" s="105" t="s">
        <v>75</v>
      </c>
      <c r="F19" s="103" t="s">
        <v>78</v>
      </c>
      <c r="G19" s="101">
        <v>0</v>
      </c>
      <c r="H19" s="28">
        <f t="shared" si="0"/>
        <v>0</v>
      </c>
      <c r="I19" s="32">
        <f t="shared" si="1"/>
        <v>0</v>
      </c>
      <c r="J19" s="166" t="s">
        <v>39</v>
      </c>
    </row>
    <row r="20" spans="5:10" ht="20.100000000000001" customHeight="1" thickBot="1" x14ac:dyDescent="0.3">
      <c r="E20" s="106" t="s">
        <v>79</v>
      </c>
      <c r="F20" s="102" t="s">
        <v>80</v>
      </c>
      <c r="G20" s="101">
        <v>0</v>
      </c>
      <c r="H20" s="28">
        <f t="shared" si="0"/>
        <v>0</v>
      </c>
      <c r="I20" s="32">
        <f t="shared" si="1"/>
        <v>0</v>
      </c>
      <c r="J20" s="167" t="s">
        <v>39</v>
      </c>
    </row>
    <row r="21" spans="5:10" ht="20.100000000000001" customHeight="1" thickBot="1" x14ac:dyDescent="0.3">
      <c r="E21" s="106" t="s">
        <v>79</v>
      </c>
      <c r="F21" s="103" t="s">
        <v>81</v>
      </c>
      <c r="G21" s="101">
        <v>0</v>
      </c>
      <c r="H21" s="28">
        <f t="shared" si="0"/>
        <v>0</v>
      </c>
      <c r="I21" s="32">
        <f t="shared" si="1"/>
        <v>0</v>
      </c>
      <c r="J21" s="167" t="s">
        <v>39</v>
      </c>
    </row>
    <row r="22" spans="5:10" ht="20.100000000000001" customHeight="1" thickBot="1" x14ac:dyDescent="0.3">
      <c r="E22" s="106" t="s">
        <v>79</v>
      </c>
      <c r="F22" s="103" t="s">
        <v>82</v>
      </c>
      <c r="G22" s="101">
        <v>0</v>
      </c>
      <c r="H22" s="28">
        <f t="shared" si="0"/>
        <v>0</v>
      </c>
      <c r="I22" s="32">
        <f t="shared" si="1"/>
        <v>0</v>
      </c>
      <c r="J22" s="167" t="s">
        <v>73</v>
      </c>
    </row>
    <row r="23" spans="5:10" ht="20.100000000000001" customHeight="1" thickBot="1" x14ac:dyDescent="0.3">
      <c r="E23" s="107" t="s">
        <v>83</v>
      </c>
      <c r="F23" s="102" t="s">
        <v>84</v>
      </c>
      <c r="G23" s="101">
        <v>0</v>
      </c>
      <c r="H23" s="28">
        <f t="shared" si="0"/>
        <v>0</v>
      </c>
      <c r="I23" s="32">
        <f t="shared" si="1"/>
        <v>0</v>
      </c>
      <c r="J23" s="168" t="s">
        <v>73</v>
      </c>
    </row>
    <row r="24" spans="5:10" ht="20.100000000000001" customHeight="1" thickBot="1" x14ac:dyDescent="0.3">
      <c r="E24" s="107" t="s">
        <v>83</v>
      </c>
      <c r="F24" s="102" t="s">
        <v>336</v>
      </c>
      <c r="G24" s="101">
        <v>0</v>
      </c>
      <c r="H24" s="28">
        <f t="shared" si="0"/>
        <v>0</v>
      </c>
      <c r="I24" s="32">
        <f t="shared" si="1"/>
        <v>0</v>
      </c>
      <c r="J24" s="168" t="s">
        <v>73</v>
      </c>
    </row>
    <row r="25" spans="5:10" ht="20.100000000000001" customHeight="1" thickBot="1" x14ac:dyDescent="0.3">
      <c r="E25" s="107" t="s">
        <v>83</v>
      </c>
      <c r="F25" s="103" t="s">
        <v>85</v>
      </c>
      <c r="G25" s="101">
        <v>0</v>
      </c>
      <c r="H25" s="28">
        <f t="shared" si="0"/>
        <v>0</v>
      </c>
      <c r="I25" s="32">
        <f t="shared" si="1"/>
        <v>0</v>
      </c>
      <c r="J25" s="168" t="s">
        <v>39</v>
      </c>
    </row>
    <row r="26" spans="5:10" ht="20.100000000000001" customHeight="1" thickBot="1" x14ac:dyDescent="0.3">
      <c r="E26" s="107" t="s">
        <v>83</v>
      </c>
      <c r="F26" s="103" t="s">
        <v>327</v>
      </c>
      <c r="G26" s="101">
        <v>0</v>
      </c>
      <c r="H26" s="28">
        <f t="shared" si="0"/>
        <v>0</v>
      </c>
      <c r="I26" s="32">
        <f t="shared" si="1"/>
        <v>0</v>
      </c>
      <c r="J26" s="168" t="s">
        <v>39</v>
      </c>
    </row>
    <row r="27" spans="5:10" ht="20.100000000000001" customHeight="1" thickBot="1" x14ac:dyDescent="0.3">
      <c r="E27" s="107" t="s">
        <v>83</v>
      </c>
      <c r="F27" s="102" t="s">
        <v>86</v>
      </c>
      <c r="G27" s="101">
        <v>0</v>
      </c>
      <c r="H27" s="28">
        <f t="shared" si="0"/>
        <v>0</v>
      </c>
      <c r="I27" s="32">
        <f t="shared" si="1"/>
        <v>0</v>
      </c>
      <c r="J27" s="168" t="s">
        <v>39</v>
      </c>
    </row>
    <row r="28" spans="5:10" ht="20.100000000000001" customHeight="1" thickBot="1" x14ac:dyDescent="0.3">
      <c r="E28" s="108" t="s">
        <v>87</v>
      </c>
      <c r="F28" s="103" t="s">
        <v>88</v>
      </c>
      <c r="G28" s="101">
        <v>0</v>
      </c>
      <c r="H28" s="28">
        <f t="shared" si="0"/>
        <v>0</v>
      </c>
      <c r="I28" s="32">
        <f t="shared" si="1"/>
        <v>0</v>
      </c>
      <c r="J28" s="169" t="s">
        <v>73</v>
      </c>
    </row>
    <row r="29" spans="5:10" ht="20.100000000000001" customHeight="1" thickBot="1" x14ac:dyDescent="0.3">
      <c r="E29" s="108" t="s">
        <v>87</v>
      </c>
      <c r="F29" s="102" t="s">
        <v>89</v>
      </c>
      <c r="G29" s="101">
        <v>0</v>
      </c>
      <c r="H29" s="28">
        <f t="shared" si="0"/>
        <v>0</v>
      </c>
      <c r="I29" s="32">
        <f t="shared" si="1"/>
        <v>0</v>
      </c>
      <c r="J29" s="169" t="s">
        <v>39</v>
      </c>
    </row>
    <row r="30" spans="5:10" ht="20.100000000000001" customHeight="1" thickBot="1" x14ac:dyDescent="0.3">
      <c r="E30" s="108" t="s">
        <v>87</v>
      </c>
      <c r="F30" s="103" t="s">
        <v>90</v>
      </c>
      <c r="G30" s="101">
        <v>0</v>
      </c>
      <c r="H30" s="28">
        <f t="shared" si="0"/>
        <v>0</v>
      </c>
      <c r="I30" s="32">
        <f t="shared" si="1"/>
        <v>0</v>
      </c>
      <c r="J30" s="169" t="s">
        <v>39</v>
      </c>
    </row>
    <row r="31" spans="5:10" ht="20.100000000000001" customHeight="1" thickBot="1" x14ac:dyDescent="0.3">
      <c r="E31" s="109" t="s">
        <v>91</v>
      </c>
      <c r="F31" s="102" t="s">
        <v>92</v>
      </c>
      <c r="G31" s="101">
        <v>0</v>
      </c>
      <c r="H31" s="28">
        <f t="shared" si="0"/>
        <v>0</v>
      </c>
      <c r="I31" s="32">
        <f t="shared" si="1"/>
        <v>0</v>
      </c>
      <c r="J31" s="170" t="s">
        <v>39</v>
      </c>
    </row>
    <row r="32" spans="5:10" ht="20.100000000000001" customHeight="1" thickBot="1" x14ac:dyDescent="0.3">
      <c r="E32" s="109" t="s">
        <v>91</v>
      </c>
      <c r="F32" s="103" t="s">
        <v>93</v>
      </c>
      <c r="G32" s="101">
        <v>0</v>
      </c>
      <c r="H32" s="28">
        <f t="shared" si="0"/>
        <v>0</v>
      </c>
      <c r="I32" s="32">
        <f t="shared" si="1"/>
        <v>0</v>
      </c>
      <c r="J32" s="170" t="s">
        <v>39</v>
      </c>
    </row>
    <row r="33" spans="5:10" ht="20.100000000000001" customHeight="1" thickBot="1" x14ac:dyDescent="0.3">
      <c r="E33" s="110" t="s">
        <v>94</v>
      </c>
      <c r="F33" s="102" t="s">
        <v>95</v>
      </c>
      <c r="G33" s="101">
        <v>0</v>
      </c>
      <c r="H33" s="28">
        <f t="shared" si="0"/>
        <v>0</v>
      </c>
      <c r="I33" s="32">
        <f t="shared" si="1"/>
        <v>0</v>
      </c>
      <c r="J33" s="171" t="s">
        <v>73</v>
      </c>
    </row>
    <row r="34" spans="5:10" ht="20.100000000000001" customHeight="1" thickBot="1" x14ac:dyDescent="0.3">
      <c r="E34" s="110" t="s">
        <v>94</v>
      </c>
      <c r="F34" s="103" t="s">
        <v>96</v>
      </c>
      <c r="G34" s="101">
        <v>0</v>
      </c>
      <c r="H34" s="28">
        <f t="shared" si="0"/>
        <v>0</v>
      </c>
      <c r="I34" s="32">
        <f t="shared" si="1"/>
        <v>0</v>
      </c>
      <c r="J34" s="171" t="s">
        <v>39</v>
      </c>
    </row>
    <row r="35" spans="5:10" ht="20.100000000000001" customHeight="1" thickBot="1" x14ac:dyDescent="0.3">
      <c r="E35" s="110" t="s">
        <v>94</v>
      </c>
      <c r="F35" s="103" t="s">
        <v>338</v>
      </c>
      <c r="G35" s="101">
        <v>0</v>
      </c>
      <c r="H35" s="28">
        <f t="shared" si="0"/>
        <v>0</v>
      </c>
      <c r="I35" s="32">
        <f t="shared" si="1"/>
        <v>0</v>
      </c>
      <c r="J35" s="171" t="s">
        <v>39</v>
      </c>
    </row>
    <row r="36" spans="5:10" ht="20.100000000000001" customHeight="1" thickBot="1" x14ac:dyDescent="0.3">
      <c r="E36" s="110" t="s">
        <v>94</v>
      </c>
      <c r="F36" s="103" t="s">
        <v>339</v>
      </c>
      <c r="G36" s="101">
        <v>0</v>
      </c>
      <c r="H36" s="28">
        <f t="shared" si="0"/>
        <v>0</v>
      </c>
      <c r="I36" s="32">
        <f t="shared" si="1"/>
        <v>0</v>
      </c>
      <c r="J36" s="171" t="s">
        <v>39</v>
      </c>
    </row>
    <row r="37" spans="5:10" ht="20.100000000000001" customHeight="1" thickBot="1" x14ac:dyDescent="0.3">
      <c r="E37" s="110" t="s">
        <v>94</v>
      </c>
      <c r="F37" s="103" t="s">
        <v>337</v>
      </c>
      <c r="G37" s="101">
        <v>0</v>
      </c>
      <c r="H37" s="28">
        <f t="shared" si="0"/>
        <v>0</v>
      </c>
      <c r="I37" s="32">
        <f t="shared" si="1"/>
        <v>0</v>
      </c>
      <c r="J37" s="171" t="s">
        <v>39</v>
      </c>
    </row>
    <row r="38" spans="5:10" ht="20.100000000000001" customHeight="1" thickBot="1" x14ac:dyDescent="0.3">
      <c r="E38" s="110" t="s">
        <v>94</v>
      </c>
      <c r="F38" s="102" t="s">
        <v>97</v>
      </c>
      <c r="G38" s="101">
        <v>0</v>
      </c>
      <c r="H38" s="28">
        <f t="shared" si="0"/>
        <v>0</v>
      </c>
      <c r="I38" s="32">
        <f t="shared" si="1"/>
        <v>0</v>
      </c>
      <c r="J38" s="171" t="s">
        <v>39</v>
      </c>
    </row>
    <row r="39" spans="5:10" ht="20.100000000000001" customHeight="1" thickBot="1" x14ac:dyDescent="0.3">
      <c r="E39" s="111" t="s">
        <v>98</v>
      </c>
      <c r="F39" s="103" t="s">
        <v>99</v>
      </c>
      <c r="G39" s="101">
        <v>0</v>
      </c>
      <c r="H39" s="28">
        <f t="shared" si="0"/>
        <v>0</v>
      </c>
      <c r="I39" s="32">
        <f t="shared" si="1"/>
        <v>0</v>
      </c>
      <c r="J39" s="172" t="s">
        <v>73</v>
      </c>
    </row>
    <row r="40" spans="5:10" ht="20.100000000000001" customHeight="1" thickBot="1" x14ac:dyDescent="0.3">
      <c r="E40" s="111" t="s">
        <v>98</v>
      </c>
      <c r="F40" s="103" t="s">
        <v>99</v>
      </c>
      <c r="G40" s="101">
        <v>0</v>
      </c>
      <c r="H40" s="28">
        <f t="shared" si="0"/>
        <v>0</v>
      </c>
      <c r="I40" s="32">
        <f t="shared" si="1"/>
        <v>0</v>
      </c>
      <c r="J40" s="172" t="s">
        <v>73</v>
      </c>
    </row>
    <row r="41" spans="5:10" ht="20.100000000000001" customHeight="1" thickBot="1" x14ac:dyDescent="0.3">
      <c r="E41" s="111" t="s">
        <v>98</v>
      </c>
      <c r="F41" s="103" t="s">
        <v>99</v>
      </c>
      <c r="G41" s="101">
        <v>0</v>
      </c>
      <c r="H41" s="28">
        <f t="shared" si="0"/>
        <v>0</v>
      </c>
      <c r="I41" s="32">
        <f t="shared" si="1"/>
        <v>0</v>
      </c>
      <c r="J41" s="172" t="s">
        <v>73</v>
      </c>
    </row>
    <row r="42" spans="5:10" ht="20.100000000000001" customHeight="1" thickBot="1" x14ac:dyDescent="0.3">
      <c r="E42" s="111" t="s">
        <v>98</v>
      </c>
      <c r="F42" s="102" t="s">
        <v>100</v>
      </c>
      <c r="G42" s="101">
        <v>0</v>
      </c>
      <c r="H42" s="28">
        <f t="shared" si="0"/>
        <v>0</v>
      </c>
      <c r="I42" s="32">
        <f t="shared" si="1"/>
        <v>0</v>
      </c>
      <c r="J42" s="172" t="s">
        <v>73</v>
      </c>
    </row>
    <row r="43" spans="5:10" ht="20.100000000000001" customHeight="1" thickBot="1" x14ac:dyDescent="0.3">
      <c r="E43" s="111" t="s">
        <v>98</v>
      </c>
      <c r="F43" s="102" t="s">
        <v>341</v>
      </c>
      <c r="G43" s="101">
        <v>0</v>
      </c>
      <c r="H43" s="28">
        <f t="shared" si="0"/>
        <v>0</v>
      </c>
      <c r="I43" s="32">
        <f t="shared" si="1"/>
        <v>0</v>
      </c>
      <c r="J43" s="172" t="s">
        <v>73</v>
      </c>
    </row>
    <row r="44" spans="5:10" ht="20.100000000000001" customHeight="1" thickBot="1" x14ac:dyDescent="0.3">
      <c r="E44" s="111" t="s">
        <v>98</v>
      </c>
      <c r="F44" s="102" t="s">
        <v>340</v>
      </c>
      <c r="G44" s="101">
        <v>0</v>
      </c>
      <c r="H44" s="28">
        <f t="shared" si="0"/>
        <v>0</v>
      </c>
      <c r="I44" s="32">
        <f t="shared" si="1"/>
        <v>0</v>
      </c>
      <c r="J44" s="172" t="s">
        <v>73</v>
      </c>
    </row>
    <row r="45" spans="5:10" ht="20.100000000000001" customHeight="1" thickBot="1" x14ac:dyDescent="0.3">
      <c r="E45" s="111" t="s">
        <v>98</v>
      </c>
      <c r="F45" s="103" t="s">
        <v>101</v>
      </c>
      <c r="G45" s="101">
        <v>0</v>
      </c>
      <c r="H45" s="28">
        <f t="shared" si="0"/>
        <v>0</v>
      </c>
      <c r="I45" s="32">
        <f t="shared" si="1"/>
        <v>0</v>
      </c>
      <c r="J45" s="172" t="s">
        <v>73</v>
      </c>
    </row>
    <row r="46" spans="5:10" ht="20.100000000000001" customHeight="1" thickBot="1" x14ac:dyDescent="0.3">
      <c r="E46" s="112" t="s">
        <v>102</v>
      </c>
      <c r="F46" s="102" t="s">
        <v>103</v>
      </c>
      <c r="G46" s="101">
        <v>0</v>
      </c>
      <c r="H46" s="28">
        <f t="shared" si="0"/>
        <v>0</v>
      </c>
      <c r="I46" s="32">
        <f t="shared" si="1"/>
        <v>0</v>
      </c>
      <c r="J46" s="173" t="s">
        <v>73</v>
      </c>
    </row>
    <row r="47" spans="5:10" ht="20.100000000000001" customHeight="1" thickBot="1" x14ac:dyDescent="0.3">
      <c r="E47" s="112" t="s">
        <v>102</v>
      </c>
      <c r="F47" s="103" t="s">
        <v>104</v>
      </c>
      <c r="G47" s="101">
        <v>0</v>
      </c>
      <c r="H47" s="28">
        <f t="shared" si="0"/>
        <v>0</v>
      </c>
      <c r="I47" s="32">
        <f t="shared" si="1"/>
        <v>0</v>
      </c>
      <c r="J47" s="173" t="s">
        <v>73</v>
      </c>
    </row>
    <row r="48" spans="5:10" ht="20.100000000000001" customHeight="1" thickBot="1" x14ac:dyDescent="0.3">
      <c r="E48" s="113" t="s">
        <v>105</v>
      </c>
      <c r="F48" s="102" t="s">
        <v>343</v>
      </c>
      <c r="G48" s="101">
        <v>0</v>
      </c>
      <c r="H48" s="28">
        <f t="shared" si="0"/>
        <v>0</v>
      </c>
      <c r="I48" s="32">
        <f t="shared" si="1"/>
        <v>0</v>
      </c>
      <c r="J48" s="174" t="s">
        <v>39</v>
      </c>
    </row>
    <row r="49" spans="5:10" ht="20.100000000000001" customHeight="1" thickBot="1" x14ac:dyDescent="0.3">
      <c r="E49" s="113" t="s">
        <v>105</v>
      </c>
      <c r="F49" s="102" t="s">
        <v>342</v>
      </c>
      <c r="G49" s="101">
        <v>0</v>
      </c>
      <c r="H49" s="28">
        <f t="shared" si="0"/>
        <v>0</v>
      </c>
      <c r="I49" s="32">
        <f t="shared" si="1"/>
        <v>0</v>
      </c>
      <c r="J49" s="174" t="s">
        <v>39</v>
      </c>
    </row>
    <row r="50" spans="5:10" ht="20.100000000000001" customHeight="1" thickBot="1" x14ac:dyDescent="0.3">
      <c r="E50" s="114" t="s">
        <v>106</v>
      </c>
      <c r="F50" s="103" t="s">
        <v>345</v>
      </c>
      <c r="G50" s="101">
        <v>0</v>
      </c>
      <c r="H50" s="28">
        <f t="shared" si="0"/>
        <v>0</v>
      </c>
      <c r="I50" s="32">
        <f t="shared" si="1"/>
        <v>0</v>
      </c>
      <c r="J50" s="175" t="s">
        <v>39</v>
      </c>
    </row>
    <row r="51" spans="5:10" ht="20.100000000000001" customHeight="1" thickBot="1" x14ac:dyDescent="0.3">
      <c r="E51" s="114" t="s">
        <v>106</v>
      </c>
      <c r="F51" s="103" t="s">
        <v>346</v>
      </c>
      <c r="G51" s="101">
        <v>0</v>
      </c>
      <c r="H51" s="28">
        <f t="shared" si="0"/>
        <v>0</v>
      </c>
      <c r="I51" s="32">
        <f t="shared" si="1"/>
        <v>0</v>
      </c>
      <c r="J51" s="175" t="s">
        <v>39</v>
      </c>
    </row>
    <row r="52" spans="5:10" ht="20.100000000000001" customHeight="1" thickBot="1" x14ac:dyDescent="0.3">
      <c r="E52" s="114" t="s">
        <v>106</v>
      </c>
      <c r="F52" s="103" t="s">
        <v>344</v>
      </c>
      <c r="G52" s="101">
        <v>0</v>
      </c>
      <c r="H52" s="28">
        <f t="shared" si="0"/>
        <v>0</v>
      </c>
      <c r="I52" s="32">
        <f t="shared" si="1"/>
        <v>0</v>
      </c>
      <c r="J52" s="175" t="s">
        <v>39</v>
      </c>
    </row>
    <row r="53" spans="5:10" ht="20.100000000000001" customHeight="1" thickBot="1" x14ac:dyDescent="0.3">
      <c r="E53" s="115" t="s">
        <v>107</v>
      </c>
      <c r="F53" s="102" t="s">
        <v>108</v>
      </c>
      <c r="G53" s="101">
        <v>0</v>
      </c>
      <c r="H53" s="28">
        <f t="shared" si="0"/>
        <v>0</v>
      </c>
      <c r="I53" s="32">
        <f t="shared" si="1"/>
        <v>0</v>
      </c>
      <c r="J53" s="176" t="s">
        <v>39</v>
      </c>
    </row>
    <row r="54" spans="5:10" ht="20.100000000000001" customHeight="1" thickBot="1" x14ac:dyDescent="0.3">
      <c r="E54" s="115" t="s">
        <v>107</v>
      </c>
      <c r="F54" s="103" t="s">
        <v>347</v>
      </c>
      <c r="G54" s="101">
        <v>0</v>
      </c>
      <c r="H54" s="28">
        <f t="shared" si="0"/>
        <v>0</v>
      </c>
      <c r="I54" s="32">
        <f t="shared" ref="I54:I60" si="2">IF(G$62=0,0,G54/G$62)</f>
        <v>0</v>
      </c>
      <c r="J54" s="176" t="s">
        <v>39</v>
      </c>
    </row>
    <row r="55" spans="5:10" ht="20.100000000000001" customHeight="1" thickBot="1" x14ac:dyDescent="0.3">
      <c r="E55" s="115" t="s">
        <v>107</v>
      </c>
      <c r="F55" s="103" t="s">
        <v>348</v>
      </c>
      <c r="G55" s="101">
        <v>0</v>
      </c>
      <c r="H55" s="28">
        <f t="shared" si="0"/>
        <v>0</v>
      </c>
      <c r="I55" s="32">
        <f t="shared" ref="I55" si="3">IF(G$62=0,0,G55/G$62)</f>
        <v>0</v>
      </c>
      <c r="J55" s="176" t="s">
        <v>39</v>
      </c>
    </row>
    <row r="56" spans="5:10" ht="20.100000000000001" customHeight="1" thickBot="1" x14ac:dyDescent="0.3">
      <c r="E56" s="115" t="s">
        <v>107</v>
      </c>
      <c r="F56" s="103" t="s">
        <v>349</v>
      </c>
      <c r="G56" s="101">
        <v>0</v>
      </c>
      <c r="H56" s="28">
        <f t="shared" si="0"/>
        <v>0</v>
      </c>
      <c r="I56" s="32">
        <f>IF(G$62=0,0,G56/G$62)</f>
        <v>0</v>
      </c>
      <c r="J56" s="176" t="s">
        <v>39</v>
      </c>
    </row>
    <row r="57" spans="5:10" ht="20.100000000000001" customHeight="1" thickBot="1" x14ac:dyDescent="0.3">
      <c r="E57" s="115" t="s">
        <v>107</v>
      </c>
      <c r="F57" s="103" t="s">
        <v>350</v>
      </c>
      <c r="G57" s="101">
        <v>0</v>
      </c>
      <c r="H57" s="28">
        <f t="shared" si="0"/>
        <v>0</v>
      </c>
      <c r="I57" s="32">
        <f t="shared" si="2"/>
        <v>0</v>
      </c>
      <c r="J57" s="176" t="s">
        <v>39</v>
      </c>
    </row>
    <row r="58" spans="5:10" ht="20.100000000000001" customHeight="1" thickBot="1" x14ac:dyDescent="0.3">
      <c r="E58" s="115" t="s">
        <v>107</v>
      </c>
      <c r="F58" s="103" t="s">
        <v>350</v>
      </c>
      <c r="G58" s="101">
        <v>0</v>
      </c>
      <c r="H58" s="28">
        <f t="shared" si="0"/>
        <v>0</v>
      </c>
      <c r="I58" s="32">
        <f t="shared" si="2"/>
        <v>0</v>
      </c>
      <c r="J58" s="176" t="s">
        <v>39</v>
      </c>
    </row>
    <row r="59" spans="5:10" ht="20.100000000000001" customHeight="1" thickBot="1" x14ac:dyDescent="0.3">
      <c r="E59" s="115" t="s">
        <v>107</v>
      </c>
      <c r="F59" s="103" t="s">
        <v>350</v>
      </c>
      <c r="G59" s="101">
        <v>0</v>
      </c>
      <c r="H59" s="28">
        <f t="shared" si="0"/>
        <v>0</v>
      </c>
      <c r="I59" s="32">
        <f t="shared" si="2"/>
        <v>0</v>
      </c>
      <c r="J59" s="176" t="s">
        <v>39</v>
      </c>
    </row>
    <row r="60" spans="5:10" ht="20.100000000000001" customHeight="1" thickBot="1" x14ac:dyDescent="0.3">
      <c r="E60" s="115" t="s">
        <v>107</v>
      </c>
      <c r="F60" s="103" t="s">
        <v>350</v>
      </c>
      <c r="G60" s="101"/>
      <c r="H60" s="28">
        <f t="shared" si="0"/>
        <v>0</v>
      </c>
      <c r="I60" s="32">
        <f t="shared" si="2"/>
        <v>0</v>
      </c>
      <c r="J60" s="176" t="s">
        <v>39</v>
      </c>
    </row>
    <row r="61" spans="5:10" ht="20.100000000000001" customHeight="1" thickBot="1" x14ac:dyDescent="0.3">
      <c r="E61" s="115" t="s">
        <v>107</v>
      </c>
      <c r="F61" s="103" t="s">
        <v>350</v>
      </c>
      <c r="G61" s="101"/>
      <c r="H61" s="28">
        <f t="shared" si="0"/>
        <v>0</v>
      </c>
      <c r="I61" s="32">
        <f>IF(G$62=0,0,G61/G$62)</f>
        <v>0</v>
      </c>
      <c r="J61" s="176" t="s">
        <v>39</v>
      </c>
    </row>
    <row r="62" spans="5:10" ht="24.95" customHeight="1" thickBot="1" x14ac:dyDescent="0.3">
      <c r="E62" s="177" t="s">
        <v>109</v>
      </c>
      <c r="F62" s="135"/>
      <c r="G62" s="37">
        <f>SUM(G7:G61)</f>
        <v>0</v>
      </c>
      <c r="H62" s="37">
        <f>SUM(H7:H61)</f>
        <v>0</v>
      </c>
      <c r="I62" s="38">
        <f>SUM(I7:I61)</f>
        <v>0</v>
      </c>
    </row>
    <row r="63" spans="5:10" ht="24.95" customHeight="1" x14ac:dyDescent="0.25"/>
    <row r="64" spans="5:10" ht="24.75" customHeight="1" x14ac:dyDescent="0.25"/>
    <row r="65" spans="5:13" ht="8.1" customHeight="1" x14ac:dyDescent="0.25"/>
    <row r="66" spans="5:13" ht="27.95" customHeight="1" x14ac:dyDescent="0.25">
      <c r="E66" s="178" t="s">
        <v>110</v>
      </c>
      <c r="F66" s="178"/>
      <c r="G66" s="178"/>
      <c r="H66" s="178"/>
      <c r="I66" s="178"/>
      <c r="J66" s="178"/>
    </row>
    <row r="67" spans="5:13" ht="15.75" x14ac:dyDescent="0.25">
      <c r="E67" s="153" t="s">
        <v>57</v>
      </c>
      <c r="F67" s="153" t="s">
        <v>111</v>
      </c>
      <c r="G67" s="153" t="s">
        <v>112</v>
      </c>
      <c r="H67" s="153" t="s">
        <v>32</v>
      </c>
      <c r="I67" s="153" t="s">
        <v>113</v>
      </c>
      <c r="J67" s="153" t="s">
        <v>114</v>
      </c>
      <c r="M67" s="179"/>
    </row>
    <row r="68" spans="5:13" ht="20.100000000000001" customHeight="1" x14ac:dyDescent="0.25">
      <c r="E68" s="104" t="s">
        <v>71</v>
      </c>
      <c r="F68" s="39">
        <f>SUMIF(tbl_gastos[Categoría de Gasto],E68,tbl_gastos[Monto Mensual])</f>
        <v>0</v>
      </c>
      <c r="G68" s="28">
        <f t="shared" ref="G68:G79" si="4">F68*12</f>
        <v>0</v>
      </c>
      <c r="H68" s="32">
        <f>IF(G62=0,0,F68/G62)</f>
        <v>0</v>
      </c>
      <c r="I68" s="40" t="str">
        <f>IF(H68&gt;J68,"⚠️ Revisar","✅ OK")</f>
        <v>✅ OK</v>
      </c>
      <c r="J68" s="180">
        <v>0.25</v>
      </c>
    </row>
    <row r="69" spans="5:13" ht="20.100000000000001" customHeight="1" x14ac:dyDescent="0.25">
      <c r="E69" s="105" t="s">
        <v>75</v>
      </c>
      <c r="F69" s="39">
        <f>SUMIF(tbl_gastos[Categoría de Gasto],E69,tbl_gastos[Monto Mensual])</f>
        <v>0</v>
      </c>
      <c r="G69" s="28">
        <f t="shared" si="4"/>
        <v>0</v>
      </c>
      <c r="H69" s="32">
        <f>IF(G62=0,0,F69/G62)</f>
        <v>0</v>
      </c>
      <c r="I69" s="40" t="str">
        <f t="shared" ref="I69:I79" si="5">IF(H69&gt;J69,"⚠️ Revisar","✅ OK")</f>
        <v>✅ OK</v>
      </c>
      <c r="J69" s="181">
        <v>0.15</v>
      </c>
    </row>
    <row r="70" spans="5:13" ht="20.100000000000001" customHeight="1" x14ac:dyDescent="0.25">
      <c r="E70" s="106" t="s">
        <v>79</v>
      </c>
      <c r="F70" s="39">
        <f>SUMIF(tbl_gastos[Categoría de Gasto],E70,tbl_gastos[Monto Mensual])</f>
        <v>0</v>
      </c>
      <c r="G70" s="28">
        <f t="shared" si="4"/>
        <v>0</v>
      </c>
      <c r="H70" s="32">
        <f>IF(G62=0,0,F70/G62)</f>
        <v>0</v>
      </c>
      <c r="I70" s="40" t="str">
        <f t="shared" si="5"/>
        <v>✅ OK</v>
      </c>
      <c r="J70" s="182">
        <v>0.1</v>
      </c>
    </row>
    <row r="71" spans="5:13" ht="20.100000000000001" customHeight="1" x14ac:dyDescent="0.25">
      <c r="E71" s="107" t="s">
        <v>83</v>
      </c>
      <c r="F71" s="39">
        <f>SUMIF(tbl_gastos[Categoría de Gasto],E71,tbl_gastos[Monto Mensual])</f>
        <v>0</v>
      </c>
      <c r="G71" s="28">
        <f t="shared" si="4"/>
        <v>0</v>
      </c>
      <c r="H71" s="32">
        <f>IF(G62=0,0,F71/G62)</f>
        <v>0</v>
      </c>
      <c r="I71" s="40" t="str">
        <f t="shared" si="5"/>
        <v>✅ OK</v>
      </c>
      <c r="J71" s="183">
        <v>0.05</v>
      </c>
    </row>
    <row r="72" spans="5:13" ht="20.100000000000001" customHeight="1" x14ac:dyDescent="0.25">
      <c r="E72" s="108" t="s">
        <v>87</v>
      </c>
      <c r="F72" s="39">
        <f>SUMIF(tbl_gastos[Categoría de Gasto],E72,tbl_gastos[Monto Mensual])</f>
        <v>0</v>
      </c>
      <c r="G72" s="28">
        <f t="shared" si="4"/>
        <v>0</v>
      </c>
      <c r="H72" s="32">
        <f>IF(G62=0,0,F72/G62)</f>
        <v>0</v>
      </c>
      <c r="I72" s="40" t="str">
        <f t="shared" si="5"/>
        <v>✅ OK</v>
      </c>
      <c r="J72" s="184">
        <v>0.1</v>
      </c>
    </row>
    <row r="73" spans="5:13" ht="20.100000000000001" customHeight="1" x14ac:dyDescent="0.25">
      <c r="E73" s="109" t="s">
        <v>91</v>
      </c>
      <c r="F73" s="39">
        <f>SUMIF(tbl_gastos[Categoría de Gasto],E73,tbl_gastos[Monto Mensual])</f>
        <v>0</v>
      </c>
      <c r="G73" s="28">
        <f t="shared" si="4"/>
        <v>0</v>
      </c>
      <c r="H73" s="32">
        <f>IF(G62=0,0,F73/G62)</f>
        <v>0</v>
      </c>
      <c r="I73" s="40" t="str">
        <f t="shared" si="5"/>
        <v>✅ OK</v>
      </c>
      <c r="J73" s="185">
        <v>0.05</v>
      </c>
    </row>
    <row r="74" spans="5:13" ht="20.100000000000001" customHeight="1" x14ac:dyDescent="0.25">
      <c r="E74" s="110" t="s">
        <v>94</v>
      </c>
      <c r="F74" s="41">
        <f>SUMIF(tbl_gastos[Categoría de Gasto],E74,tbl_gastos[Monto Mensual])</f>
        <v>0</v>
      </c>
      <c r="G74" s="28">
        <f t="shared" si="4"/>
        <v>0</v>
      </c>
      <c r="H74" s="32">
        <f>IF(G62=0,0,F74/G62)</f>
        <v>0</v>
      </c>
      <c r="I74" s="40" t="str">
        <f t="shared" si="5"/>
        <v>✅ OK</v>
      </c>
      <c r="J74" s="186">
        <v>0.05</v>
      </c>
    </row>
    <row r="75" spans="5:13" ht="20.100000000000001" customHeight="1" x14ac:dyDescent="0.25">
      <c r="E75" s="111" t="s">
        <v>98</v>
      </c>
      <c r="F75" s="41">
        <f>SUMIF(tbl_gastos[Categoría de Gasto],E75,tbl_gastos[Monto Mensual])</f>
        <v>0</v>
      </c>
      <c r="G75" s="28">
        <f t="shared" si="4"/>
        <v>0</v>
      </c>
      <c r="H75" s="32">
        <f>IF(G62=0,0,F75/G62)</f>
        <v>0</v>
      </c>
      <c r="I75" s="40" t="str">
        <f t="shared" si="5"/>
        <v>✅ OK</v>
      </c>
      <c r="J75" s="187">
        <v>0.15</v>
      </c>
    </row>
    <row r="76" spans="5:13" ht="20.100000000000001" customHeight="1" x14ac:dyDescent="0.25">
      <c r="E76" s="112" t="s">
        <v>102</v>
      </c>
      <c r="F76" s="41">
        <f>SUMIF(tbl_gastos[Categoría de Gasto],E76,tbl_gastos[Monto Mensual])</f>
        <v>0</v>
      </c>
      <c r="G76" s="28">
        <f t="shared" si="4"/>
        <v>0</v>
      </c>
      <c r="H76" s="32">
        <f>IF(G62=0,0,F76/G62)</f>
        <v>0</v>
      </c>
      <c r="I76" s="40" t="str">
        <f t="shared" si="5"/>
        <v>✅ OK</v>
      </c>
      <c r="J76" s="188">
        <v>0.03</v>
      </c>
    </row>
    <row r="77" spans="5:13" ht="20.100000000000001" customHeight="1" x14ac:dyDescent="0.25">
      <c r="E77" s="113" t="s">
        <v>105</v>
      </c>
      <c r="F77" s="41">
        <f>SUMIF(tbl_gastos[Categoría de Gasto],E77,tbl_gastos[Monto Mensual])</f>
        <v>0</v>
      </c>
      <c r="G77" s="28">
        <f t="shared" si="4"/>
        <v>0</v>
      </c>
      <c r="H77" s="32">
        <f>IF(G62=0,0,F77/G62)</f>
        <v>0</v>
      </c>
      <c r="I77" s="40" t="str">
        <f t="shared" si="5"/>
        <v>✅ OK</v>
      </c>
      <c r="J77" s="189">
        <v>0.03</v>
      </c>
    </row>
    <row r="78" spans="5:13" ht="20.100000000000001" customHeight="1" x14ac:dyDescent="0.25">
      <c r="E78" s="114" t="s">
        <v>106</v>
      </c>
      <c r="F78" s="41">
        <f>SUMIF(tbl_gastos[Categoría de Gasto],E78,tbl_gastos[Monto Mensual])</f>
        <v>0</v>
      </c>
      <c r="G78" s="28">
        <f t="shared" si="4"/>
        <v>0</v>
      </c>
      <c r="H78" s="32">
        <f>IF(G62=0,0,F78/G62)</f>
        <v>0</v>
      </c>
      <c r="I78" s="40" t="str">
        <f t="shared" si="5"/>
        <v>✅ OK</v>
      </c>
      <c r="J78" s="190">
        <v>0.02</v>
      </c>
    </row>
    <row r="79" spans="5:13" ht="20.100000000000001" customHeight="1" thickBot="1" x14ac:dyDescent="0.3">
      <c r="E79" s="191" t="s">
        <v>107</v>
      </c>
      <c r="F79" s="42">
        <f>SUMIF(tbl_gastos[Categoría de Gasto],E79,tbl_gastos[Monto Mensual])</f>
        <v>0</v>
      </c>
      <c r="G79" s="43">
        <f t="shared" si="4"/>
        <v>0</v>
      </c>
      <c r="H79" s="44">
        <f>IF(G62=0,0,F79/G62)</f>
        <v>0</v>
      </c>
      <c r="I79" s="40" t="str">
        <f t="shared" si="5"/>
        <v>✅ OK</v>
      </c>
      <c r="J79" s="192">
        <v>0.02</v>
      </c>
    </row>
    <row r="80" spans="5:13" ht="27" customHeight="1" thickBot="1" x14ac:dyDescent="0.3">
      <c r="E80" s="177" t="s">
        <v>109</v>
      </c>
      <c r="F80" s="135"/>
      <c r="G80" s="37">
        <f>SUM(G68:G79)</f>
        <v>0</v>
      </c>
      <c r="H80" s="45">
        <f>SUM(H68:H79)</f>
        <v>0</v>
      </c>
      <c r="J80" s="38">
        <f>SUM(J68:J79)</f>
        <v>1.0000000000000002</v>
      </c>
    </row>
    <row r="82" spans="5:10" ht="27.95" customHeight="1" x14ac:dyDescent="0.25"/>
    <row r="84" spans="5:10" ht="15.75" x14ac:dyDescent="0.25">
      <c r="E84" s="145" t="s">
        <v>361</v>
      </c>
      <c r="F84" s="146"/>
      <c r="G84" s="146"/>
      <c r="H84" s="146"/>
      <c r="I84" s="146"/>
      <c r="J84" s="146"/>
    </row>
    <row r="85" spans="5:10" ht="15.75" x14ac:dyDescent="0.25">
      <c r="E85" s="153" t="s">
        <v>362</v>
      </c>
      <c r="F85" s="153" t="s">
        <v>363</v>
      </c>
      <c r="G85" s="153" t="s">
        <v>364</v>
      </c>
      <c r="H85" s="153"/>
      <c r="I85" s="153"/>
      <c r="J85" s="153"/>
    </row>
    <row r="86" spans="5:10" x14ac:dyDescent="0.25">
      <c r="E86" s="193" t="s">
        <v>359</v>
      </c>
      <c r="F86" s="46">
        <f>SUM(F68:F73)</f>
        <v>0</v>
      </c>
      <c r="G86" s="46">
        <f>'4. Ahorro'!G19</f>
        <v>0</v>
      </c>
    </row>
    <row r="87" spans="5:10" x14ac:dyDescent="0.25">
      <c r="E87" s="194" t="s">
        <v>360</v>
      </c>
      <c r="F87" s="47">
        <f>SUM(F74:F79)</f>
        <v>0</v>
      </c>
      <c r="G87" s="47">
        <f>'4. Ahorro'!G20</f>
        <v>0</v>
      </c>
    </row>
    <row r="90" spans="5:10" ht="15.75" x14ac:dyDescent="0.25">
      <c r="E90" s="153" t="s">
        <v>366</v>
      </c>
    </row>
  </sheetData>
  <sheetProtection algorithmName="SHA-512" hashValue="QMm8TERMg6yWcl+XZl0hZQc+XA7CzauRomYQnroqEdc8kv3VR20vhO+fbLB745j3O5IqFqjPbm4aop9sqSAExA==" saltValue="ejP8eGHJh8lW/GiNWhpyvA==" spinCount="100000" sheet="1" objects="1" scenarios="1"/>
  <mergeCells count="6">
    <mergeCell ref="E84:J84"/>
    <mergeCell ref="E3:J3"/>
    <mergeCell ref="E2:J2"/>
    <mergeCell ref="E66:J66"/>
    <mergeCell ref="E62:F62"/>
    <mergeCell ref="E80:F80"/>
  </mergeCells>
  <conditionalFormatting sqref="I68:I79">
    <cfRule type="containsText" dxfId="0" priority="1" operator="containsText" text="✅ OK">
      <formula>NOT(ISERROR(SEARCH("✅ OK",I68)))</formula>
    </cfRule>
  </conditionalFormatting>
  <pageMargins left="0.75" right="0.75" top="1" bottom="1" header="0.5" footer="0.5"/>
  <drawing r:id="rId1"/>
  <tableParts count="2">
    <tablePart r:id="rId2"/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A1A1B"/>
  </sheetPr>
  <dimension ref="A1:J43"/>
  <sheetViews>
    <sheetView showGridLines="0" workbookViewId="0">
      <selection activeCell="H26" activeCellId="5" sqref="H7 H8:J9 H13:H14 G19:J21 F38:J38 H26:J37"/>
    </sheetView>
  </sheetViews>
  <sheetFormatPr baseColWidth="10" defaultColWidth="9.140625" defaultRowHeight="15" x14ac:dyDescent="0.25"/>
  <cols>
    <col min="1" max="1" width="1.7109375" style="122" customWidth="1"/>
    <col min="2" max="2" width="1.7109375" style="123" customWidth="1"/>
    <col min="3" max="3" width="1.7109375" style="124" customWidth="1"/>
    <col min="4" max="4" width="3" style="126" customWidth="1"/>
    <col min="5" max="5" width="39" style="126" bestFit="1" customWidth="1"/>
    <col min="6" max="10" width="18" style="126" customWidth="1"/>
    <col min="11" max="11" width="3" style="126" customWidth="1"/>
    <col min="12" max="16384" width="9.140625" style="126"/>
  </cols>
  <sheetData>
    <row r="1" spans="5:10" ht="9.9499999999999993" customHeight="1" x14ac:dyDescent="0.25"/>
    <row r="2" spans="5:10" ht="45" customHeight="1" x14ac:dyDescent="0.25">
      <c r="E2" s="195" t="s">
        <v>115</v>
      </c>
      <c r="F2" s="195"/>
      <c r="G2" s="195"/>
      <c r="H2" s="195"/>
      <c r="I2" s="195"/>
      <c r="J2" s="195"/>
    </row>
    <row r="3" spans="5:10" ht="21.95" customHeight="1" x14ac:dyDescent="0.25">
      <c r="E3" s="178" t="s">
        <v>116</v>
      </c>
      <c r="F3" s="178"/>
      <c r="G3" s="178"/>
      <c r="H3" s="178"/>
      <c r="I3" s="178"/>
      <c r="J3" s="178"/>
    </row>
    <row r="5" spans="5:10" ht="8.1" customHeight="1" x14ac:dyDescent="0.25"/>
    <row r="6" spans="5:10" ht="27.95" customHeight="1" x14ac:dyDescent="0.25">
      <c r="E6" s="178" t="s">
        <v>117</v>
      </c>
      <c r="F6" s="178"/>
      <c r="G6" s="178"/>
      <c r="H6" s="178"/>
      <c r="I6" s="178"/>
      <c r="J6" s="178"/>
    </row>
    <row r="7" spans="5:10" ht="24.95" customHeight="1" x14ac:dyDescent="0.25">
      <c r="E7" s="196" t="s">
        <v>118</v>
      </c>
      <c r="F7" s="57"/>
      <c r="G7" s="57"/>
      <c r="H7" s="27">
        <f>'2. Ingresos'!H21</f>
        <v>0</v>
      </c>
      <c r="I7" s="75"/>
      <c r="J7" s="57"/>
    </row>
    <row r="8" spans="5:10" ht="24.95" customHeight="1" x14ac:dyDescent="0.25">
      <c r="E8" s="197" t="s">
        <v>119</v>
      </c>
      <c r="F8" s="57"/>
      <c r="G8" s="57"/>
      <c r="H8" s="27">
        <f>'3. Gastos'!G62</f>
        <v>0</v>
      </c>
      <c r="I8" s="51" t="str">
        <f>IF(H8&gt;H7," GASTOS EXCEDIDOS","")</f>
        <v/>
      </c>
      <c r="J8" s="52"/>
    </row>
    <row r="9" spans="5:10" ht="24.95" customHeight="1" x14ac:dyDescent="0.25">
      <c r="E9" s="198" t="s">
        <v>120</v>
      </c>
      <c r="F9" s="57"/>
      <c r="G9" s="57"/>
      <c r="H9" s="27">
        <f>H7-H8</f>
        <v>0</v>
      </c>
      <c r="I9" s="53" t="str">
        <f>IF(H9&lt;0,"NO CAPACIDAD DE AHORRO","")</f>
        <v/>
      </c>
      <c r="J9" s="52"/>
    </row>
    <row r="10" spans="5:10" ht="32.25" customHeight="1" x14ac:dyDescent="0.25"/>
    <row r="11" spans="5:10" ht="24.95" customHeight="1" x14ac:dyDescent="0.25">
      <c r="E11" s="178" t="s">
        <v>365</v>
      </c>
      <c r="F11" s="178"/>
      <c r="G11" s="178"/>
      <c r="H11" s="178"/>
      <c r="I11" s="178"/>
      <c r="J11" s="178"/>
    </row>
    <row r="12" spans="5:10" ht="24.95" customHeight="1" x14ac:dyDescent="0.25">
      <c r="E12" s="199" t="s">
        <v>121</v>
      </c>
      <c r="F12" s="57"/>
      <c r="G12" s="57"/>
      <c r="H12" s="34">
        <v>0.2</v>
      </c>
      <c r="I12" s="68"/>
      <c r="J12" s="57"/>
    </row>
    <row r="13" spans="5:10" ht="24.95" customHeight="1" x14ac:dyDescent="0.25">
      <c r="E13" s="198" t="s">
        <v>122</v>
      </c>
      <c r="F13" s="57"/>
      <c r="G13" s="57"/>
      <c r="H13" s="27">
        <f>H7*H12</f>
        <v>0</v>
      </c>
      <c r="I13" s="72"/>
      <c r="J13" s="57"/>
    </row>
    <row r="14" spans="5:10" ht="17.25" x14ac:dyDescent="0.25">
      <c r="E14" s="198" t="s">
        <v>123</v>
      </c>
      <c r="F14" s="57"/>
      <c r="G14" s="57"/>
      <c r="H14" s="27">
        <f>H9-H13</f>
        <v>0</v>
      </c>
      <c r="I14" s="72"/>
      <c r="J14" s="57"/>
    </row>
    <row r="15" spans="5:10" ht="17.25" customHeight="1" x14ac:dyDescent="0.25"/>
    <row r="16" spans="5:10" ht="21.75" customHeight="1" x14ac:dyDescent="0.25"/>
    <row r="17" spans="5:10" ht="21.95" customHeight="1" x14ac:dyDescent="0.25">
      <c r="E17" s="178" t="s">
        <v>351</v>
      </c>
      <c r="F17" s="178"/>
      <c r="G17" s="178"/>
      <c r="H17" s="178"/>
      <c r="I17" s="178"/>
      <c r="J17" s="178"/>
    </row>
    <row r="18" spans="5:10" ht="21.95" customHeight="1" x14ac:dyDescent="0.25">
      <c r="E18" s="153" t="s">
        <v>57</v>
      </c>
      <c r="F18" s="153" t="s">
        <v>124</v>
      </c>
      <c r="G18" s="153" t="s">
        <v>125</v>
      </c>
      <c r="H18" s="153" t="s">
        <v>126</v>
      </c>
      <c r="I18" s="153" t="s">
        <v>127</v>
      </c>
      <c r="J18" s="153" t="s">
        <v>128</v>
      </c>
    </row>
    <row r="19" spans="5:10" ht="21.95" customHeight="1" x14ac:dyDescent="0.25">
      <c r="E19" s="102" t="s">
        <v>352</v>
      </c>
      <c r="F19" s="35">
        <v>0.5</v>
      </c>
      <c r="G19" s="28">
        <f>H7*0.5</f>
        <v>0</v>
      </c>
      <c r="H19" s="29">
        <f>'3. Gastos'!F86</f>
        <v>0</v>
      </c>
      <c r="I19" s="28">
        <f>H19-G19</f>
        <v>0</v>
      </c>
      <c r="J19" s="30" t="str">
        <f>IF(H19&lt;G19,"✅ OK","⚠️ Revisar")</f>
        <v>⚠️ Revisar</v>
      </c>
    </row>
    <row r="20" spans="5:10" ht="21.95" customHeight="1" x14ac:dyDescent="0.25">
      <c r="E20" s="200" t="s">
        <v>129</v>
      </c>
      <c r="F20" s="35">
        <v>0.3</v>
      </c>
      <c r="G20" s="28">
        <f>H7*0.3</f>
        <v>0</v>
      </c>
      <c r="H20" s="29">
        <f>'3. Gastos'!F87</f>
        <v>0</v>
      </c>
      <c r="I20" s="28">
        <f>H20-G20</f>
        <v>0</v>
      </c>
      <c r="J20" s="30" t="str">
        <f t="shared" ref="J20:J21" si="0">IF(H20&lt;G20,"✅ OK","⚠️ Revisar")</f>
        <v>⚠️ Revisar</v>
      </c>
    </row>
    <row r="21" spans="5:10" x14ac:dyDescent="0.25">
      <c r="E21" s="102" t="s">
        <v>130</v>
      </c>
      <c r="F21" s="35">
        <v>0.2</v>
      </c>
      <c r="G21" s="28">
        <f>H7*0.2</f>
        <v>0</v>
      </c>
      <c r="H21" s="29">
        <f>H9</f>
        <v>0</v>
      </c>
      <c r="I21" s="28">
        <f>H21-G21</f>
        <v>0</v>
      </c>
      <c r="J21" s="30" t="str">
        <f t="shared" si="0"/>
        <v>⚠️ Revisar</v>
      </c>
    </row>
    <row r="22" spans="5:10" ht="8.1" customHeight="1" x14ac:dyDescent="0.25"/>
    <row r="23" spans="5:10" ht="27.95" customHeight="1" x14ac:dyDescent="0.25"/>
    <row r="24" spans="5:10" ht="21.95" customHeight="1" x14ac:dyDescent="0.25">
      <c r="E24" s="178" t="s">
        <v>131</v>
      </c>
      <c r="F24" s="178"/>
      <c r="G24" s="178"/>
      <c r="H24" s="178"/>
      <c r="I24" s="178"/>
      <c r="J24" s="178"/>
    </row>
    <row r="25" spans="5:10" ht="20.100000000000001" customHeight="1" x14ac:dyDescent="0.25">
      <c r="E25" s="153" t="s">
        <v>132</v>
      </c>
      <c r="F25" s="153" t="s">
        <v>133</v>
      </c>
      <c r="G25" s="153" t="s">
        <v>134</v>
      </c>
      <c r="H25" s="153" t="s">
        <v>135</v>
      </c>
      <c r="I25" s="153" t="s">
        <v>136</v>
      </c>
      <c r="J25" s="153" t="s">
        <v>137</v>
      </c>
    </row>
    <row r="26" spans="5:10" ht="20.100000000000001" customHeight="1" x14ac:dyDescent="0.25">
      <c r="E26" s="201" t="s">
        <v>138</v>
      </c>
      <c r="F26" s="36">
        <f>$H$7</f>
        <v>0</v>
      </c>
      <c r="G26" s="36">
        <f>$H$8</f>
        <v>0</v>
      </c>
      <c r="H26" s="28">
        <f>F26-G26</f>
        <v>0</v>
      </c>
      <c r="I26" s="32">
        <f>IF(F26=0,0,H26/F26)</f>
        <v>0</v>
      </c>
      <c r="J26" s="33">
        <f>H26</f>
        <v>0</v>
      </c>
    </row>
    <row r="27" spans="5:10" ht="20.100000000000001" customHeight="1" x14ac:dyDescent="0.25">
      <c r="E27" s="202" t="s">
        <v>139</v>
      </c>
      <c r="F27" s="36">
        <f t="shared" ref="F27:F37" si="1">$H$7</f>
        <v>0</v>
      </c>
      <c r="G27" s="36">
        <f t="shared" ref="G27:G37" si="2">$H$8</f>
        <v>0</v>
      </c>
      <c r="H27" s="28">
        <f t="shared" ref="H27:H37" si="3">F27-G27</f>
        <v>0</v>
      </c>
      <c r="I27" s="32">
        <f t="shared" ref="I27:I38" si="4">IF(F27=0,0,H27/F27)</f>
        <v>0</v>
      </c>
      <c r="J27" s="33">
        <f>J26+H27</f>
        <v>0</v>
      </c>
    </row>
    <row r="28" spans="5:10" ht="20.100000000000001" customHeight="1" x14ac:dyDescent="0.25">
      <c r="E28" s="201" t="s">
        <v>140</v>
      </c>
      <c r="F28" s="36">
        <f t="shared" si="1"/>
        <v>0</v>
      </c>
      <c r="G28" s="36">
        <f t="shared" si="2"/>
        <v>0</v>
      </c>
      <c r="H28" s="28">
        <f t="shared" si="3"/>
        <v>0</v>
      </c>
      <c r="I28" s="32">
        <f t="shared" si="4"/>
        <v>0</v>
      </c>
      <c r="J28" s="33">
        <f t="shared" ref="J28:J37" si="5">J27+H28</f>
        <v>0</v>
      </c>
    </row>
    <row r="29" spans="5:10" ht="20.100000000000001" customHeight="1" x14ac:dyDescent="0.25">
      <c r="E29" s="202" t="s">
        <v>141</v>
      </c>
      <c r="F29" s="36">
        <f t="shared" si="1"/>
        <v>0</v>
      </c>
      <c r="G29" s="36">
        <f t="shared" si="2"/>
        <v>0</v>
      </c>
      <c r="H29" s="28">
        <f t="shared" si="3"/>
        <v>0</v>
      </c>
      <c r="I29" s="32">
        <f t="shared" si="4"/>
        <v>0</v>
      </c>
      <c r="J29" s="33">
        <f t="shared" si="5"/>
        <v>0</v>
      </c>
    </row>
    <row r="30" spans="5:10" ht="20.100000000000001" customHeight="1" x14ac:dyDescent="0.25">
      <c r="E30" s="201" t="s">
        <v>142</v>
      </c>
      <c r="F30" s="36">
        <f t="shared" si="1"/>
        <v>0</v>
      </c>
      <c r="G30" s="36">
        <f t="shared" si="2"/>
        <v>0</v>
      </c>
      <c r="H30" s="28">
        <f t="shared" si="3"/>
        <v>0</v>
      </c>
      <c r="I30" s="32">
        <f t="shared" si="4"/>
        <v>0</v>
      </c>
      <c r="J30" s="33">
        <f t="shared" si="5"/>
        <v>0</v>
      </c>
    </row>
    <row r="31" spans="5:10" ht="20.100000000000001" customHeight="1" x14ac:dyDescent="0.25">
      <c r="E31" s="202" t="s">
        <v>143</v>
      </c>
      <c r="F31" s="36">
        <f t="shared" si="1"/>
        <v>0</v>
      </c>
      <c r="G31" s="36">
        <f t="shared" si="2"/>
        <v>0</v>
      </c>
      <c r="H31" s="28">
        <f t="shared" si="3"/>
        <v>0</v>
      </c>
      <c r="I31" s="32">
        <f t="shared" si="4"/>
        <v>0</v>
      </c>
      <c r="J31" s="33">
        <f t="shared" si="5"/>
        <v>0</v>
      </c>
    </row>
    <row r="32" spans="5:10" ht="20.100000000000001" customHeight="1" x14ac:dyDescent="0.25">
      <c r="E32" s="201" t="s">
        <v>144</v>
      </c>
      <c r="F32" s="36">
        <f t="shared" si="1"/>
        <v>0</v>
      </c>
      <c r="G32" s="36">
        <f t="shared" si="2"/>
        <v>0</v>
      </c>
      <c r="H32" s="28">
        <f t="shared" si="3"/>
        <v>0</v>
      </c>
      <c r="I32" s="32">
        <f t="shared" si="4"/>
        <v>0</v>
      </c>
      <c r="J32" s="33">
        <f t="shared" si="5"/>
        <v>0</v>
      </c>
    </row>
    <row r="33" spans="5:10" ht="20.100000000000001" customHeight="1" x14ac:dyDescent="0.25">
      <c r="E33" s="202" t="s">
        <v>145</v>
      </c>
      <c r="F33" s="36">
        <f t="shared" si="1"/>
        <v>0</v>
      </c>
      <c r="G33" s="36">
        <f t="shared" si="2"/>
        <v>0</v>
      </c>
      <c r="H33" s="28">
        <f t="shared" si="3"/>
        <v>0</v>
      </c>
      <c r="I33" s="32">
        <f t="shared" si="4"/>
        <v>0</v>
      </c>
      <c r="J33" s="33">
        <f t="shared" si="5"/>
        <v>0</v>
      </c>
    </row>
    <row r="34" spans="5:10" ht="20.100000000000001" customHeight="1" x14ac:dyDescent="0.25">
      <c r="E34" s="201" t="s">
        <v>146</v>
      </c>
      <c r="F34" s="36">
        <f t="shared" si="1"/>
        <v>0</v>
      </c>
      <c r="G34" s="36">
        <f t="shared" si="2"/>
        <v>0</v>
      </c>
      <c r="H34" s="28">
        <f t="shared" si="3"/>
        <v>0</v>
      </c>
      <c r="I34" s="32">
        <f t="shared" si="4"/>
        <v>0</v>
      </c>
      <c r="J34" s="33">
        <f t="shared" si="5"/>
        <v>0</v>
      </c>
    </row>
    <row r="35" spans="5:10" ht="20.100000000000001" customHeight="1" x14ac:dyDescent="0.25">
      <c r="E35" s="202" t="s">
        <v>147</v>
      </c>
      <c r="F35" s="36">
        <f t="shared" si="1"/>
        <v>0</v>
      </c>
      <c r="G35" s="36">
        <f t="shared" si="2"/>
        <v>0</v>
      </c>
      <c r="H35" s="28">
        <f t="shared" si="3"/>
        <v>0</v>
      </c>
      <c r="I35" s="32">
        <f t="shared" si="4"/>
        <v>0</v>
      </c>
      <c r="J35" s="33">
        <f t="shared" si="5"/>
        <v>0</v>
      </c>
    </row>
    <row r="36" spans="5:10" ht="20.100000000000001" customHeight="1" x14ac:dyDescent="0.25">
      <c r="E36" s="201" t="s">
        <v>148</v>
      </c>
      <c r="F36" s="36">
        <f t="shared" si="1"/>
        <v>0</v>
      </c>
      <c r="G36" s="36">
        <f t="shared" si="2"/>
        <v>0</v>
      </c>
      <c r="H36" s="28">
        <f t="shared" si="3"/>
        <v>0</v>
      </c>
      <c r="I36" s="32">
        <f t="shared" si="4"/>
        <v>0</v>
      </c>
      <c r="J36" s="33">
        <f t="shared" si="5"/>
        <v>0</v>
      </c>
    </row>
    <row r="37" spans="5:10" ht="24.95" customHeight="1" x14ac:dyDescent="0.25">
      <c r="E37" s="202" t="s">
        <v>149</v>
      </c>
      <c r="F37" s="36">
        <f t="shared" si="1"/>
        <v>0</v>
      </c>
      <c r="G37" s="36">
        <f t="shared" si="2"/>
        <v>0</v>
      </c>
      <c r="H37" s="28">
        <f t="shared" si="3"/>
        <v>0</v>
      </c>
      <c r="I37" s="32">
        <f t="shared" si="4"/>
        <v>0</v>
      </c>
      <c r="J37" s="33">
        <f t="shared" si="5"/>
        <v>0</v>
      </c>
    </row>
    <row r="38" spans="5:10" x14ac:dyDescent="0.25">
      <c r="E38" s="203" t="s">
        <v>150</v>
      </c>
      <c r="F38" s="31">
        <f>SUM(F26:F37)</f>
        <v>0</v>
      </c>
      <c r="G38" s="31">
        <f>SUM(G26:G37)</f>
        <v>0</v>
      </c>
      <c r="H38" s="31">
        <f>SUM(H26:H37)</f>
        <v>0</v>
      </c>
      <c r="I38" s="31">
        <f t="shared" si="4"/>
        <v>0</v>
      </c>
      <c r="J38" s="31">
        <f>J37</f>
        <v>0</v>
      </c>
    </row>
    <row r="43" spans="5:10" ht="15.75" x14ac:dyDescent="0.25">
      <c r="E43" s="153" t="s">
        <v>366</v>
      </c>
    </row>
  </sheetData>
  <sheetProtection algorithmName="SHA-512" hashValue="5fTOYDGpqvAY2hJy3G0w99TIqjsxsxMS2Nt3Q+XNy8wJc1SqhhJWWwGpn1d4+9mWlew50r+hS2nhQ8xFGqzuXg==" saltValue="iumpsINKtkGu4ClZA/suBA==" spinCount="100000" sheet="1" objects="1" scenarios="1"/>
  <mergeCells count="18">
    <mergeCell ref="E3:J3"/>
    <mergeCell ref="E2:J2"/>
    <mergeCell ref="E12:G12"/>
    <mergeCell ref="E13:G13"/>
    <mergeCell ref="I13:J13"/>
    <mergeCell ref="E7:G7"/>
    <mergeCell ref="I7:J7"/>
    <mergeCell ref="E6:J6"/>
    <mergeCell ref="I14:J14"/>
    <mergeCell ref="E24:J24"/>
    <mergeCell ref="I12:J12"/>
    <mergeCell ref="E8:G8"/>
    <mergeCell ref="E9:G9"/>
    <mergeCell ref="I8:J8"/>
    <mergeCell ref="E14:G14"/>
    <mergeCell ref="E17:J17"/>
    <mergeCell ref="I9:J9"/>
    <mergeCell ref="E11:J1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A1A1B"/>
  </sheetPr>
  <dimension ref="A1:M104"/>
  <sheetViews>
    <sheetView showGridLines="0" workbookViewId="0">
      <selection activeCell="G100" activeCellId="16" sqref="J5 G12:H13 G15:J15 G24:H25 G27:J27 G36:H37 G39:J39 G48:H49 G51:J51 G60:H61 G63:J63 G72:H73 G75:J75 G84:H85 G87:J87 G97:H98 G100:J100"/>
    </sheetView>
  </sheetViews>
  <sheetFormatPr baseColWidth="10" defaultColWidth="9.140625" defaultRowHeight="15" x14ac:dyDescent="0.25"/>
  <cols>
    <col min="1" max="1" width="1.7109375" style="122" customWidth="1"/>
    <col min="2" max="2" width="1.7109375" style="123" customWidth="1"/>
    <col min="3" max="3" width="1.7109375" style="124" customWidth="1"/>
    <col min="4" max="4" width="3" style="126" customWidth="1"/>
    <col min="5" max="5" width="26" style="126" customWidth="1"/>
    <col min="6" max="6" width="18" style="126" customWidth="1"/>
    <col min="7" max="8" width="28.7109375" style="126" customWidth="1"/>
    <col min="9" max="10" width="18" style="126" customWidth="1"/>
    <col min="11" max="11" width="3" style="126" customWidth="1"/>
    <col min="12" max="12" width="9.140625" style="126"/>
    <col min="13" max="13" width="9.140625" style="26"/>
    <col min="14" max="16384" width="9.140625" style="126"/>
  </cols>
  <sheetData>
    <row r="1" spans="5:10" ht="9.9499999999999993" customHeight="1" x14ac:dyDescent="0.25"/>
    <row r="2" spans="5:10" ht="45" customHeight="1" x14ac:dyDescent="0.25">
      <c r="E2" s="195" t="s">
        <v>151</v>
      </c>
      <c r="F2" s="195"/>
      <c r="G2" s="195"/>
      <c r="H2" s="195"/>
      <c r="I2" s="195"/>
      <c r="J2" s="195"/>
    </row>
    <row r="3" spans="5:10" ht="21.95" customHeight="1" x14ac:dyDescent="0.25">
      <c r="E3" s="178" t="s">
        <v>358</v>
      </c>
      <c r="F3" s="178"/>
      <c r="G3" s="178"/>
      <c r="H3" s="178"/>
      <c r="I3" s="178"/>
      <c r="J3" s="178"/>
    </row>
    <row r="4" spans="5:10" x14ac:dyDescent="0.25">
      <c r="E4" s="203"/>
      <c r="F4" s="203"/>
      <c r="G4" s="203"/>
      <c r="H4" s="203"/>
      <c r="I4" s="203" t="s">
        <v>355</v>
      </c>
      <c r="J4" s="204">
        <f ca="1">J5</f>
        <v>46122</v>
      </c>
    </row>
    <row r="5" spans="5:10" x14ac:dyDescent="0.25">
      <c r="J5" s="214">
        <f ca="1">TODAY()</f>
        <v>46122</v>
      </c>
    </row>
    <row r="7" spans="5:10" ht="18" customHeight="1" x14ac:dyDescent="0.25"/>
    <row r="8" spans="5:10" ht="30" customHeight="1" x14ac:dyDescent="0.25">
      <c r="E8" s="205" t="s">
        <v>152</v>
      </c>
      <c r="F8" s="57"/>
      <c r="G8" s="57"/>
      <c r="H8" s="57"/>
      <c r="I8" s="57"/>
      <c r="J8" s="57"/>
    </row>
    <row r="9" spans="5:10" ht="21.95" customHeight="1" x14ac:dyDescent="0.25">
      <c r="E9" s="206" t="s">
        <v>153</v>
      </c>
      <c r="F9" s="57"/>
      <c r="G9" s="70" t="s">
        <v>154</v>
      </c>
      <c r="H9" s="57"/>
      <c r="I9" s="74"/>
      <c r="J9" s="57"/>
    </row>
    <row r="10" spans="5:10" ht="21.95" customHeight="1" x14ac:dyDescent="0.25">
      <c r="E10" s="206" t="s">
        <v>155</v>
      </c>
      <c r="F10" s="57"/>
      <c r="G10" s="56">
        <v>120000</v>
      </c>
      <c r="H10" s="57"/>
      <c r="I10" s="66"/>
      <c r="J10" s="57"/>
    </row>
    <row r="11" spans="5:10" ht="21.95" customHeight="1" x14ac:dyDescent="0.25">
      <c r="E11" s="206" t="s">
        <v>156</v>
      </c>
      <c r="F11" s="57"/>
      <c r="G11" s="67">
        <v>46753</v>
      </c>
      <c r="H11" s="57"/>
      <c r="I11" s="74"/>
      <c r="J11" s="57"/>
    </row>
    <row r="12" spans="5:10" ht="21.95" customHeight="1" x14ac:dyDescent="0.25">
      <c r="E12" s="206" t="s">
        <v>158</v>
      </c>
      <c r="F12" s="57"/>
      <c r="G12" s="60">
        <f ca="1">DATEDIF($J$4,G11,"m")</f>
        <v>20</v>
      </c>
      <c r="H12" s="61"/>
      <c r="I12" s="66"/>
      <c r="J12" s="57"/>
    </row>
    <row r="13" spans="5:10" ht="21.95" customHeight="1" x14ac:dyDescent="0.25">
      <c r="E13" s="206" t="s">
        <v>159</v>
      </c>
      <c r="F13" s="57"/>
      <c r="G13" s="58">
        <f ca="1">IF(G12=0,0,G10/G12)</f>
        <v>6000</v>
      </c>
      <c r="H13" s="59"/>
      <c r="I13" s="74"/>
      <c r="J13" s="57"/>
    </row>
    <row r="14" spans="5:10" ht="21.95" customHeight="1" x14ac:dyDescent="0.25">
      <c r="E14" s="206" t="s">
        <v>160</v>
      </c>
      <c r="F14" s="57"/>
      <c r="G14" s="56">
        <v>60000</v>
      </c>
      <c r="H14" s="57"/>
      <c r="I14" s="66"/>
      <c r="J14" s="57"/>
    </row>
    <row r="15" spans="5:10" ht="21.95" customHeight="1" x14ac:dyDescent="0.25">
      <c r="E15" s="206" t="s">
        <v>161</v>
      </c>
      <c r="F15" s="57"/>
      <c r="G15" s="64">
        <f>IF(G10=0,0,G14/G10)</f>
        <v>0.5</v>
      </c>
      <c r="H15" s="63"/>
      <c r="I15" s="65" t="str">
        <f>IF(G15&gt;=1,"🎉 META ALCANZADA!",IF(G15&gt;=0.75,"🟢 75%+ logrado",IF(G15&gt;=0.5,"🟡 50%+ logrado",IF(G15&gt;=0.25,"🟠 25%+ logrado","🔴 Iniciando"))))</f>
        <v>🟡 50%+ logrado</v>
      </c>
      <c r="J15" s="63"/>
    </row>
    <row r="16" spans="5:10" ht="21.95" customHeight="1" x14ac:dyDescent="0.25">
      <c r="E16" s="206" t="s">
        <v>162</v>
      </c>
      <c r="F16" s="57"/>
      <c r="G16" s="56">
        <v>6000</v>
      </c>
      <c r="H16" s="57"/>
      <c r="I16" s="66"/>
      <c r="J16" s="57"/>
    </row>
    <row r="17" spans="5:10" ht="21.95" customHeight="1" x14ac:dyDescent="0.25">
      <c r="G17" s="207"/>
      <c r="I17" s="208"/>
    </row>
    <row r="19" spans="5:10" ht="8.1" customHeight="1" x14ac:dyDescent="0.25"/>
    <row r="20" spans="5:10" ht="30" customHeight="1" x14ac:dyDescent="0.25">
      <c r="E20" s="209" t="s">
        <v>163</v>
      </c>
      <c r="F20" s="57"/>
      <c r="G20" s="57"/>
      <c r="H20" s="57"/>
      <c r="I20" s="57"/>
      <c r="J20" s="57"/>
    </row>
    <row r="21" spans="5:10" ht="21.95" customHeight="1" x14ac:dyDescent="0.25">
      <c r="E21" s="206" t="s">
        <v>153</v>
      </c>
      <c r="F21" s="57"/>
      <c r="G21" s="70" t="s">
        <v>164</v>
      </c>
      <c r="H21" s="57"/>
      <c r="I21" s="75"/>
      <c r="J21" s="57"/>
    </row>
    <row r="22" spans="5:10" ht="21.95" customHeight="1" x14ac:dyDescent="0.25">
      <c r="E22" s="206" t="s">
        <v>155</v>
      </c>
      <c r="F22" s="57"/>
      <c r="G22" s="56">
        <v>60000</v>
      </c>
      <c r="H22" s="57"/>
      <c r="I22" s="66"/>
      <c r="J22" s="57"/>
    </row>
    <row r="23" spans="5:10" ht="21.95" customHeight="1" x14ac:dyDescent="0.25">
      <c r="E23" s="206" t="s">
        <v>156</v>
      </c>
      <c r="F23" s="57"/>
      <c r="G23" s="67">
        <v>46372</v>
      </c>
      <c r="H23" s="57"/>
      <c r="I23" s="75" t="s">
        <v>157</v>
      </c>
      <c r="J23" s="57"/>
    </row>
    <row r="24" spans="5:10" ht="21.95" customHeight="1" x14ac:dyDescent="0.25">
      <c r="E24" s="206" t="s">
        <v>158</v>
      </c>
      <c r="F24" s="57"/>
      <c r="G24" s="69">
        <f ca="1">DATEDIF($J$4,G23,"m")</f>
        <v>8</v>
      </c>
      <c r="H24" s="63"/>
      <c r="I24" s="66"/>
      <c r="J24" s="57"/>
    </row>
    <row r="25" spans="5:10" ht="21.95" customHeight="1" x14ac:dyDescent="0.25">
      <c r="E25" s="206" t="s">
        <v>159</v>
      </c>
      <c r="F25" s="57"/>
      <c r="G25" s="62">
        <f ca="1">IF(G24=0,0,G22/G24)</f>
        <v>7500</v>
      </c>
      <c r="H25" s="63"/>
      <c r="I25" s="75"/>
      <c r="J25" s="57"/>
    </row>
    <row r="26" spans="5:10" ht="21.95" customHeight="1" x14ac:dyDescent="0.25">
      <c r="E26" s="206" t="s">
        <v>160</v>
      </c>
      <c r="F26" s="57"/>
      <c r="G26" s="56">
        <v>18000</v>
      </c>
      <c r="H26" s="57"/>
      <c r="I26" s="66"/>
      <c r="J26" s="57"/>
    </row>
    <row r="27" spans="5:10" ht="21.95" customHeight="1" x14ac:dyDescent="0.25">
      <c r="E27" s="206" t="s">
        <v>161</v>
      </c>
      <c r="F27" s="57"/>
      <c r="G27" s="64">
        <f>IF(G22=0,0,G26/G22)</f>
        <v>0.3</v>
      </c>
      <c r="H27" s="63"/>
      <c r="I27" s="65" t="str">
        <f>IF(G27&gt;=1,"🎉 META ALCANZADA!",IF(G27&gt;=0.75,"🟢 75%+ logrado",IF(G27&gt;=0.5,"🟡 50%+ logrado",IF(G27&gt;=0.25,"🟠 25%+ logrado","🔴 Iniciando"))))</f>
        <v>🟠 25%+ logrado</v>
      </c>
      <c r="J27" s="63"/>
    </row>
    <row r="28" spans="5:10" ht="21.95" customHeight="1" x14ac:dyDescent="0.25">
      <c r="E28" s="206" t="s">
        <v>162</v>
      </c>
      <c r="F28" s="57"/>
      <c r="G28" s="56"/>
      <c r="H28" s="57"/>
      <c r="I28" s="66"/>
      <c r="J28" s="57"/>
    </row>
    <row r="29" spans="5:10" ht="21.95" customHeight="1" x14ac:dyDescent="0.25">
      <c r="G29" s="207"/>
      <c r="I29" s="208"/>
    </row>
    <row r="31" spans="5:10" ht="8.1" customHeight="1" x14ac:dyDescent="0.25"/>
    <row r="32" spans="5:10" ht="30" customHeight="1" x14ac:dyDescent="0.25">
      <c r="E32" s="210" t="s">
        <v>165</v>
      </c>
      <c r="F32" s="57"/>
      <c r="G32" s="57"/>
      <c r="H32" s="57"/>
      <c r="I32" s="57"/>
      <c r="J32" s="57"/>
    </row>
    <row r="33" spans="5:10" ht="21.95" customHeight="1" x14ac:dyDescent="0.25">
      <c r="E33" s="206" t="s">
        <v>153</v>
      </c>
      <c r="F33" s="57"/>
      <c r="G33" s="70" t="s">
        <v>166</v>
      </c>
      <c r="H33" s="57"/>
      <c r="I33" s="68"/>
      <c r="J33" s="57"/>
    </row>
    <row r="34" spans="5:10" ht="21.95" customHeight="1" x14ac:dyDescent="0.25">
      <c r="E34" s="206" t="s">
        <v>155</v>
      </c>
      <c r="F34" s="57"/>
      <c r="G34" s="56">
        <v>480000</v>
      </c>
      <c r="H34" s="57"/>
      <c r="I34" s="66"/>
      <c r="J34" s="57"/>
    </row>
    <row r="35" spans="5:10" ht="21.95" customHeight="1" x14ac:dyDescent="0.25">
      <c r="E35" s="206" t="s">
        <v>156</v>
      </c>
      <c r="F35" s="57"/>
      <c r="G35" s="67">
        <v>47484</v>
      </c>
      <c r="H35" s="57"/>
      <c r="I35" s="68" t="s">
        <v>157</v>
      </c>
      <c r="J35" s="57"/>
    </row>
    <row r="36" spans="5:10" ht="21.95" customHeight="1" x14ac:dyDescent="0.25">
      <c r="E36" s="206" t="s">
        <v>158</v>
      </c>
      <c r="F36" s="57"/>
      <c r="G36" s="69">
        <f ca="1">DATEDIF($J$4,G35,"m")</f>
        <v>44</v>
      </c>
      <c r="H36" s="63"/>
      <c r="I36" s="66"/>
      <c r="J36" s="57"/>
    </row>
    <row r="37" spans="5:10" ht="21.95" customHeight="1" x14ac:dyDescent="0.25">
      <c r="E37" s="206" t="s">
        <v>159</v>
      </c>
      <c r="F37" s="57"/>
      <c r="G37" s="62">
        <f ca="1">IF(G36=0,0,G34/G36)</f>
        <v>10909.09090909091</v>
      </c>
      <c r="H37" s="63"/>
      <c r="I37" s="68"/>
      <c r="J37" s="57"/>
    </row>
    <row r="38" spans="5:10" ht="21.95" customHeight="1" x14ac:dyDescent="0.25">
      <c r="E38" s="206" t="s">
        <v>160</v>
      </c>
      <c r="F38" s="57"/>
      <c r="G38" s="56">
        <v>0</v>
      </c>
      <c r="H38" s="57"/>
      <c r="I38" s="66"/>
      <c r="J38" s="57"/>
    </row>
    <row r="39" spans="5:10" ht="21.95" customHeight="1" x14ac:dyDescent="0.25">
      <c r="E39" s="206" t="s">
        <v>161</v>
      </c>
      <c r="F39" s="57"/>
      <c r="G39" s="64">
        <f>IF(G34=0,0,G38/G34)</f>
        <v>0</v>
      </c>
      <c r="H39" s="63"/>
      <c r="I39" s="65" t="str">
        <f>IF(G39&gt;=1,"🎉 META ALCANZADA!",IF(G39&gt;=0.75,"🟢 75%+ logrado",IF(G39&gt;=0.5,"🟡 50%+ logrado",IF(G39&gt;=0.25,"🟠 25%+ logrado","🔴 Iniciando"))))</f>
        <v>🔴 Iniciando</v>
      </c>
      <c r="J39" s="63"/>
    </row>
    <row r="40" spans="5:10" ht="21.95" customHeight="1" x14ac:dyDescent="0.25">
      <c r="E40" s="206" t="s">
        <v>162</v>
      </c>
      <c r="F40" s="57"/>
      <c r="G40" s="56">
        <v>0</v>
      </c>
      <c r="H40" s="57"/>
      <c r="I40" s="66"/>
      <c r="J40" s="57"/>
    </row>
    <row r="41" spans="5:10" ht="21.95" customHeight="1" x14ac:dyDescent="0.25">
      <c r="G41" s="207"/>
      <c r="I41" s="208"/>
    </row>
    <row r="43" spans="5:10" ht="8.1" customHeight="1" x14ac:dyDescent="0.25"/>
    <row r="44" spans="5:10" ht="30" customHeight="1" x14ac:dyDescent="0.25">
      <c r="E44" s="211" t="s">
        <v>167</v>
      </c>
      <c r="F44" s="57"/>
      <c r="G44" s="57"/>
      <c r="H44" s="57"/>
      <c r="I44" s="57"/>
      <c r="J44" s="57"/>
    </row>
    <row r="45" spans="5:10" ht="21.95" customHeight="1" x14ac:dyDescent="0.25">
      <c r="E45" s="206" t="s">
        <v>153</v>
      </c>
      <c r="F45" s="57"/>
      <c r="G45" s="70" t="s">
        <v>168</v>
      </c>
      <c r="H45" s="57"/>
      <c r="I45" s="73"/>
      <c r="J45" s="57"/>
    </row>
    <row r="46" spans="5:10" ht="21.95" customHeight="1" x14ac:dyDescent="0.25">
      <c r="E46" s="206" t="s">
        <v>155</v>
      </c>
      <c r="F46" s="57"/>
      <c r="G46" s="56">
        <v>0</v>
      </c>
      <c r="H46" s="57"/>
      <c r="I46" s="66"/>
      <c r="J46" s="57"/>
    </row>
    <row r="47" spans="5:10" ht="21.95" customHeight="1" x14ac:dyDescent="0.25">
      <c r="E47" s="206" t="s">
        <v>156</v>
      </c>
      <c r="F47" s="57"/>
      <c r="G47" s="67" t="s">
        <v>157</v>
      </c>
      <c r="H47" s="57"/>
      <c r="I47" s="73" t="s">
        <v>157</v>
      </c>
      <c r="J47" s="57"/>
    </row>
    <row r="48" spans="5:10" ht="21.95" customHeight="1" x14ac:dyDescent="0.25">
      <c r="E48" s="206" t="s">
        <v>158</v>
      </c>
      <c r="F48" s="57"/>
      <c r="G48" s="69" t="e">
        <f ca="1">DATEDIF($J$4,G47,"m")</f>
        <v>#VALUE!</v>
      </c>
      <c r="H48" s="63"/>
      <c r="I48" s="66"/>
      <c r="J48" s="57"/>
    </row>
    <row r="49" spans="5:10" ht="21.95" customHeight="1" x14ac:dyDescent="0.25">
      <c r="E49" s="206" t="s">
        <v>159</v>
      </c>
      <c r="F49" s="57"/>
      <c r="G49" s="62" t="e">
        <f ca="1">IF(G48=0,0,G46/G48)</f>
        <v>#VALUE!</v>
      </c>
      <c r="H49" s="63"/>
      <c r="I49" s="73"/>
      <c r="J49" s="57"/>
    </row>
    <row r="50" spans="5:10" ht="21.95" customHeight="1" x14ac:dyDescent="0.25">
      <c r="E50" s="206" t="s">
        <v>160</v>
      </c>
      <c r="F50" s="57"/>
      <c r="G50" s="56">
        <v>0</v>
      </c>
      <c r="H50" s="57"/>
      <c r="I50" s="66"/>
      <c r="J50" s="57"/>
    </row>
    <row r="51" spans="5:10" ht="21.95" customHeight="1" x14ac:dyDescent="0.25">
      <c r="E51" s="206" t="s">
        <v>161</v>
      </c>
      <c r="F51" s="57"/>
      <c r="G51" s="64">
        <f>IF(G46=0,0,G50/G46)</f>
        <v>0</v>
      </c>
      <c r="H51" s="63"/>
      <c r="I51" s="65" t="str">
        <f>IF(G51&gt;=1,"🎉 META ALCANZADA!",IF(G51&gt;=0.75,"🟢 75%+ logrado",IF(G51&gt;=0.5,"🟡 50%+ logrado",IF(G51&gt;=0.25,"🟠 25%+ logrado","🔴 Iniciando"))))</f>
        <v>🔴 Iniciando</v>
      </c>
      <c r="J51" s="63"/>
    </row>
    <row r="52" spans="5:10" ht="21.95" customHeight="1" x14ac:dyDescent="0.25">
      <c r="E52" s="206" t="s">
        <v>162</v>
      </c>
      <c r="F52" s="57"/>
      <c r="G52" s="56">
        <v>0</v>
      </c>
      <c r="H52" s="57"/>
      <c r="I52" s="66"/>
      <c r="J52" s="57"/>
    </row>
    <row r="53" spans="5:10" ht="21.95" customHeight="1" x14ac:dyDescent="0.25">
      <c r="G53" s="207"/>
      <c r="I53" s="208"/>
    </row>
    <row r="55" spans="5:10" ht="8.1" customHeight="1" x14ac:dyDescent="0.25"/>
    <row r="56" spans="5:10" ht="30" customHeight="1" x14ac:dyDescent="0.25">
      <c r="E56" s="212" t="s">
        <v>169</v>
      </c>
      <c r="F56" s="57"/>
      <c r="G56" s="57"/>
      <c r="H56" s="57"/>
      <c r="I56" s="57"/>
      <c r="J56" s="57"/>
    </row>
    <row r="57" spans="5:10" ht="21.95" customHeight="1" x14ac:dyDescent="0.25">
      <c r="E57" s="206" t="s">
        <v>153</v>
      </c>
      <c r="F57" s="57"/>
      <c r="G57" s="70" t="s">
        <v>170</v>
      </c>
      <c r="H57" s="57"/>
      <c r="I57" s="72"/>
      <c r="J57" s="57"/>
    </row>
    <row r="58" spans="5:10" ht="21.95" customHeight="1" x14ac:dyDescent="0.25">
      <c r="E58" s="206" t="s">
        <v>155</v>
      </c>
      <c r="F58" s="57"/>
      <c r="G58" s="56">
        <v>0</v>
      </c>
      <c r="H58" s="57"/>
      <c r="I58" s="66"/>
      <c r="J58" s="57"/>
    </row>
    <row r="59" spans="5:10" ht="21.95" customHeight="1" x14ac:dyDescent="0.25">
      <c r="E59" s="206" t="s">
        <v>156</v>
      </c>
      <c r="F59" s="57"/>
      <c r="G59" s="67" t="s">
        <v>157</v>
      </c>
      <c r="H59" s="57"/>
      <c r="I59" s="72" t="s">
        <v>157</v>
      </c>
      <c r="J59" s="57"/>
    </row>
    <row r="60" spans="5:10" ht="21.95" customHeight="1" x14ac:dyDescent="0.25">
      <c r="E60" s="206" t="s">
        <v>158</v>
      </c>
      <c r="F60" s="57"/>
      <c r="G60" s="69" t="e">
        <f ca="1">DATEDIF($J$4,G59,"m")</f>
        <v>#VALUE!</v>
      </c>
      <c r="H60" s="63"/>
      <c r="I60" s="66"/>
      <c r="J60" s="57"/>
    </row>
    <row r="61" spans="5:10" ht="21.95" customHeight="1" x14ac:dyDescent="0.25">
      <c r="E61" s="206" t="s">
        <v>159</v>
      </c>
      <c r="F61" s="57"/>
      <c r="G61" s="62" t="e">
        <f ca="1">IF(G60=0,0,G58/G60)</f>
        <v>#VALUE!</v>
      </c>
      <c r="H61" s="63"/>
      <c r="I61" s="72"/>
      <c r="J61" s="57"/>
    </row>
    <row r="62" spans="5:10" ht="21.95" customHeight="1" x14ac:dyDescent="0.25">
      <c r="E62" s="206" t="s">
        <v>160</v>
      </c>
      <c r="F62" s="57"/>
      <c r="G62" s="56">
        <v>0</v>
      </c>
      <c r="H62" s="57"/>
      <c r="I62" s="66"/>
      <c r="J62" s="57"/>
    </row>
    <row r="63" spans="5:10" ht="21.95" customHeight="1" x14ac:dyDescent="0.25">
      <c r="E63" s="206" t="s">
        <v>161</v>
      </c>
      <c r="F63" s="57"/>
      <c r="G63" s="64">
        <f>IF(G58=0,0,G62/G58)</f>
        <v>0</v>
      </c>
      <c r="H63" s="63"/>
      <c r="I63" s="65" t="str">
        <f>IF(G63&gt;=1,"🎉 META ALCANZADA!",IF(G63&gt;=0.75,"🟢 75%+ logrado",IF(G63&gt;=0.5,"🟡 50%+ logrado",IF(G63&gt;=0.25,"🟠 25%+ logrado","🔴 Iniciando"))))</f>
        <v>🔴 Iniciando</v>
      </c>
      <c r="J63" s="63"/>
    </row>
    <row r="64" spans="5:10" ht="21.95" customHeight="1" x14ac:dyDescent="0.25">
      <c r="E64" s="206" t="s">
        <v>162</v>
      </c>
      <c r="F64" s="57"/>
      <c r="G64" s="56">
        <v>0</v>
      </c>
      <c r="H64" s="57"/>
      <c r="I64" s="66"/>
      <c r="J64" s="57"/>
    </row>
    <row r="65" spans="5:10" ht="21.95" customHeight="1" x14ac:dyDescent="0.25">
      <c r="G65" s="207"/>
      <c r="I65" s="208"/>
    </row>
    <row r="67" spans="5:10" ht="8.1" customHeight="1" x14ac:dyDescent="0.25"/>
    <row r="68" spans="5:10" ht="30" customHeight="1" x14ac:dyDescent="0.25">
      <c r="E68" s="213" t="s">
        <v>171</v>
      </c>
      <c r="F68" s="57"/>
      <c r="G68" s="57"/>
      <c r="H68" s="57"/>
      <c r="I68" s="57"/>
      <c r="J68" s="57"/>
    </row>
    <row r="69" spans="5:10" ht="21.95" customHeight="1" x14ac:dyDescent="0.25">
      <c r="E69" s="206" t="s">
        <v>153</v>
      </c>
      <c r="F69" s="57"/>
      <c r="G69" s="70" t="s">
        <v>172</v>
      </c>
      <c r="H69" s="57"/>
      <c r="I69" s="71"/>
      <c r="J69" s="57"/>
    </row>
    <row r="70" spans="5:10" ht="21.95" customHeight="1" x14ac:dyDescent="0.25">
      <c r="E70" s="206" t="s">
        <v>155</v>
      </c>
      <c r="F70" s="57"/>
      <c r="G70" s="56">
        <v>0</v>
      </c>
      <c r="H70" s="57"/>
      <c r="I70" s="66"/>
      <c r="J70" s="57"/>
    </row>
    <row r="71" spans="5:10" ht="21.95" customHeight="1" x14ac:dyDescent="0.25">
      <c r="E71" s="206" t="s">
        <v>156</v>
      </c>
      <c r="F71" s="57"/>
      <c r="G71" s="67" t="s">
        <v>157</v>
      </c>
      <c r="H71" s="57"/>
      <c r="I71" s="71" t="s">
        <v>157</v>
      </c>
      <c r="J71" s="57"/>
    </row>
    <row r="72" spans="5:10" ht="21.95" customHeight="1" x14ac:dyDescent="0.25">
      <c r="E72" s="206" t="s">
        <v>158</v>
      </c>
      <c r="F72" s="57"/>
      <c r="G72" s="69" t="e">
        <f ca="1">DATEDIF($J$4,G71,"m")</f>
        <v>#VALUE!</v>
      </c>
      <c r="H72" s="63"/>
      <c r="I72" s="66"/>
      <c r="J72" s="57"/>
    </row>
    <row r="73" spans="5:10" ht="21.95" customHeight="1" x14ac:dyDescent="0.25">
      <c r="E73" s="206" t="s">
        <v>159</v>
      </c>
      <c r="F73" s="57"/>
      <c r="G73" s="62" t="e">
        <f ca="1">IF(G72=0,0,G70/G72)</f>
        <v>#VALUE!</v>
      </c>
      <c r="H73" s="63"/>
      <c r="I73" s="71"/>
      <c r="J73" s="57"/>
    </row>
    <row r="74" spans="5:10" ht="21.95" customHeight="1" x14ac:dyDescent="0.25">
      <c r="E74" s="206" t="s">
        <v>160</v>
      </c>
      <c r="F74" s="57"/>
      <c r="G74" s="56">
        <v>0</v>
      </c>
      <c r="H74" s="57"/>
      <c r="I74" s="66"/>
      <c r="J74" s="57"/>
    </row>
    <row r="75" spans="5:10" ht="21.95" customHeight="1" x14ac:dyDescent="0.25">
      <c r="E75" s="206" t="s">
        <v>161</v>
      </c>
      <c r="F75" s="57"/>
      <c r="G75" s="64">
        <f>IF(G70=0,0,G74/G70)</f>
        <v>0</v>
      </c>
      <c r="H75" s="63"/>
      <c r="I75" s="65" t="str">
        <f>IF(G75&gt;=1,"🎉 META ALCANZADA!",IF(G75&gt;=0.75,"🟢 75%+ logrado",IF(G75&gt;=0.5,"🟡 50%+ logrado",IF(G75&gt;=0.25,"🟠 25%+ logrado","🔴 Iniciando"))))</f>
        <v>🔴 Iniciando</v>
      </c>
      <c r="J75" s="63"/>
    </row>
    <row r="76" spans="5:10" ht="21.95" customHeight="1" x14ac:dyDescent="0.25">
      <c r="E76" s="206" t="s">
        <v>162</v>
      </c>
      <c r="F76" s="57"/>
      <c r="G76" s="56">
        <v>0</v>
      </c>
      <c r="H76" s="57"/>
      <c r="I76" s="66"/>
      <c r="J76" s="57"/>
    </row>
    <row r="77" spans="5:10" ht="21.95" customHeight="1" x14ac:dyDescent="0.25">
      <c r="G77" s="207"/>
      <c r="I77" s="208"/>
    </row>
    <row r="80" spans="5:10" ht="30" customHeight="1" x14ac:dyDescent="0.25">
      <c r="E80" s="213" t="s">
        <v>356</v>
      </c>
      <c r="F80" s="57"/>
      <c r="G80" s="57"/>
      <c r="H80" s="57"/>
      <c r="I80" s="57"/>
      <c r="J80" s="57"/>
    </row>
    <row r="81" spans="5:10" ht="21.95" customHeight="1" x14ac:dyDescent="0.25">
      <c r="E81" s="206" t="s">
        <v>153</v>
      </c>
      <c r="F81" s="57"/>
      <c r="G81" s="70" t="s">
        <v>172</v>
      </c>
      <c r="H81" s="57"/>
      <c r="I81" s="71"/>
      <c r="J81" s="57"/>
    </row>
    <row r="82" spans="5:10" ht="21.95" customHeight="1" x14ac:dyDescent="0.25">
      <c r="E82" s="206" t="s">
        <v>155</v>
      </c>
      <c r="F82" s="57"/>
      <c r="G82" s="56">
        <v>0</v>
      </c>
      <c r="H82" s="57"/>
      <c r="I82" s="66"/>
      <c r="J82" s="57"/>
    </row>
    <row r="83" spans="5:10" ht="21.95" customHeight="1" x14ac:dyDescent="0.25">
      <c r="E83" s="206" t="s">
        <v>156</v>
      </c>
      <c r="F83" s="57"/>
      <c r="G83" s="67" t="s">
        <v>157</v>
      </c>
      <c r="H83" s="57"/>
      <c r="I83" s="71" t="s">
        <v>157</v>
      </c>
      <c r="J83" s="57"/>
    </row>
    <row r="84" spans="5:10" ht="21.95" customHeight="1" x14ac:dyDescent="0.25">
      <c r="E84" s="206" t="s">
        <v>158</v>
      </c>
      <c r="F84" s="57"/>
      <c r="G84" s="69" t="e">
        <f ca="1">DATEDIF($J$4,G83,"m")</f>
        <v>#VALUE!</v>
      </c>
      <c r="H84" s="63"/>
      <c r="I84" s="66"/>
      <c r="J84" s="57"/>
    </row>
    <row r="85" spans="5:10" ht="21.95" customHeight="1" x14ac:dyDescent="0.25">
      <c r="E85" s="206" t="s">
        <v>159</v>
      </c>
      <c r="F85" s="57"/>
      <c r="G85" s="62" t="e">
        <f ca="1">IF(G84=0,0,G82/G84)</f>
        <v>#VALUE!</v>
      </c>
      <c r="H85" s="63"/>
      <c r="I85" s="71"/>
      <c r="J85" s="57"/>
    </row>
    <row r="86" spans="5:10" ht="21.95" customHeight="1" x14ac:dyDescent="0.25">
      <c r="E86" s="206" t="s">
        <v>160</v>
      </c>
      <c r="F86" s="57"/>
      <c r="G86" s="56">
        <v>0</v>
      </c>
      <c r="H86" s="57"/>
      <c r="I86" s="66"/>
      <c r="J86" s="57"/>
    </row>
    <row r="87" spans="5:10" ht="21.95" customHeight="1" x14ac:dyDescent="0.25">
      <c r="E87" s="206" t="s">
        <v>161</v>
      </c>
      <c r="F87" s="57"/>
      <c r="G87" s="64">
        <f>IF(G82=0,0,G86/G82)</f>
        <v>0</v>
      </c>
      <c r="H87" s="63"/>
      <c r="I87" s="65" t="str">
        <f>IF(G87&gt;=1,"🎉 META ALCANZADA!",IF(G87&gt;=0.75,"🟢 75%+ logrado",IF(G87&gt;=0.5,"🟡 50%+ logrado",IF(G87&gt;=0.25,"🟠 25%+ logrado","🔴 Iniciando"))))</f>
        <v>🔴 Iniciando</v>
      </c>
      <c r="J87" s="63"/>
    </row>
    <row r="88" spans="5:10" ht="21.95" customHeight="1" x14ac:dyDescent="0.25">
      <c r="E88" s="206" t="s">
        <v>162</v>
      </c>
      <c r="F88" s="57"/>
      <c r="G88" s="56">
        <v>0</v>
      </c>
      <c r="H88" s="57"/>
      <c r="I88" s="66"/>
      <c r="J88" s="57"/>
    </row>
    <row r="89" spans="5:10" ht="21.95" customHeight="1" x14ac:dyDescent="0.25">
      <c r="G89" s="207"/>
      <c r="I89" s="208"/>
    </row>
    <row r="90" spans="5:10" ht="21.95" customHeight="1" x14ac:dyDescent="0.25">
      <c r="G90" s="207"/>
      <c r="I90" s="208"/>
    </row>
    <row r="91" spans="5:10" ht="21.95" customHeight="1" x14ac:dyDescent="0.25">
      <c r="G91" s="207"/>
      <c r="I91" s="208"/>
    </row>
    <row r="93" spans="5:10" ht="30" customHeight="1" x14ac:dyDescent="0.25">
      <c r="E93" s="210" t="s">
        <v>357</v>
      </c>
      <c r="F93" s="57"/>
      <c r="G93" s="57"/>
      <c r="H93" s="57"/>
      <c r="I93" s="57"/>
      <c r="J93" s="57"/>
    </row>
    <row r="94" spans="5:10" ht="21.95" customHeight="1" x14ac:dyDescent="0.25">
      <c r="E94" s="206" t="s">
        <v>153</v>
      </c>
      <c r="F94" s="57"/>
      <c r="G94" s="70" t="s">
        <v>166</v>
      </c>
      <c r="H94" s="57"/>
      <c r="I94" s="68"/>
      <c r="J94" s="57"/>
    </row>
    <row r="95" spans="5:10" ht="21.95" customHeight="1" x14ac:dyDescent="0.25">
      <c r="E95" s="206" t="s">
        <v>155</v>
      </c>
      <c r="F95" s="57"/>
      <c r="G95" s="56">
        <v>480000</v>
      </c>
      <c r="H95" s="57"/>
      <c r="I95" s="66"/>
      <c r="J95" s="57"/>
    </row>
    <row r="96" spans="5:10" ht="21.95" customHeight="1" x14ac:dyDescent="0.25">
      <c r="E96" s="206" t="s">
        <v>156</v>
      </c>
      <c r="F96" s="57"/>
      <c r="G96" s="67" t="s">
        <v>157</v>
      </c>
      <c r="H96" s="57"/>
      <c r="I96" s="68" t="s">
        <v>157</v>
      </c>
      <c r="J96" s="57"/>
    </row>
    <row r="97" spans="5:10" ht="21.95" customHeight="1" x14ac:dyDescent="0.25">
      <c r="E97" s="206" t="s">
        <v>158</v>
      </c>
      <c r="F97" s="57"/>
      <c r="G97" s="69" t="e">
        <f ca="1">DATEDIF($J$4,G96,"m")</f>
        <v>#VALUE!</v>
      </c>
      <c r="H97" s="63"/>
      <c r="I97" s="66"/>
      <c r="J97" s="57"/>
    </row>
    <row r="98" spans="5:10" ht="21.95" customHeight="1" x14ac:dyDescent="0.25">
      <c r="E98" s="206" t="s">
        <v>159</v>
      </c>
      <c r="F98" s="57"/>
      <c r="G98" s="62" t="e">
        <f ca="1">IF(G97=0,0,G95/G97)</f>
        <v>#VALUE!</v>
      </c>
      <c r="H98" s="63"/>
      <c r="I98" s="68"/>
      <c r="J98" s="57"/>
    </row>
    <row r="99" spans="5:10" ht="21.95" customHeight="1" x14ac:dyDescent="0.25">
      <c r="E99" s="206" t="s">
        <v>160</v>
      </c>
      <c r="F99" s="57"/>
      <c r="G99" s="56">
        <v>0</v>
      </c>
      <c r="H99" s="57"/>
      <c r="I99" s="66"/>
      <c r="J99" s="57"/>
    </row>
    <row r="100" spans="5:10" ht="21.95" customHeight="1" x14ac:dyDescent="0.25">
      <c r="E100" s="206" t="s">
        <v>161</v>
      </c>
      <c r="F100" s="57"/>
      <c r="G100" s="64">
        <f>IF(G95=0,0,G99/G95)</f>
        <v>0</v>
      </c>
      <c r="H100" s="63"/>
      <c r="I100" s="65" t="str">
        <f>IF(G100&gt;=1,"🎉 META ALCANZADA!",IF(G100&gt;=0.75,"🟢 75%+ logrado",IF(G100&gt;=0.5,"🟡 50%+ logrado",IF(G100&gt;=0.25,"🟠 25%+ logrado","🔴 Iniciando"))))</f>
        <v>🔴 Iniciando</v>
      </c>
      <c r="J100" s="63"/>
    </row>
    <row r="101" spans="5:10" ht="21.95" customHeight="1" x14ac:dyDescent="0.25">
      <c r="E101" s="206" t="s">
        <v>162</v>
      </c>
      <c r="F101" s="57"/>
      <c r="G101" s="56">
        <v>0</v>
      </c>
      <c r="H101" s="57"/>
      <c r="I101" s="66"/>
      <c r="J101" s="57"/>
    </row>
    <row r="104" spans="5:10" ht="15.75" x14ac:dyDescent="0.25">
      <c r="E104" s="153" t="s">
        <v>366</v>
      </c>
    </row>
  </sheetData>
  <sheetProtection algorithmName="SHA-512" hashValue="jBW2sJtxYXCxVfSk+UkeDGLLstn3a3Zcf+8j/i4Wvzv7FIdDJV9yPtS76UAFb0sq/pBxhnfxRZgUoWgdUlyQNg==" saltValue="CGEX+9j+MI+CY74hprdCSg==" spinCount="100000" sheet="1" objects="1" scenarios="1"/>
  <mergeCells count="202">
    <mergeCell ref="G76:H76"/>
    <mergeCell ref="G22:H22"/>
    <mergeCell ref="I76:J76"/>
    <mergeCell ref="G34:H34"/>
    <mergeCell ref="E14:F14"/>
    <mergeCell ref="E69:F69"/>
    <mergeCell ref="E21:F21"/>
    <mergeCell ref="G69:H69"/>
    <mergeCell ref="G15:H15"/>
    <mergeCell ref="E61:F61"/>
    <mergeCell ref="I72:J72"/>
    <mergeCell ref="E16:F16"/>
    <mergeCell ref="G64:H64"/>
    <mergeCell ref="I64:J64"/>
    <mergeCell ref="I71:J71"/>
    <mergeCell ref="E15:F15"/>
    <mergeCell ref="E63:F63"/>
    <mergeCell ref="E36:F36"/>
    <mergeCell ref="E70:F70"/>
    <mergeCell ref="E25:F25"/>
    <mergeCell ref="E76:F76"/>
    <mergeCell ref="G9:H9"/>
    <mergeCell ref="G70:H70"/>
    <mergeCell ref="E68:J68"/>
    <mergeCell ref="I23:J23"/>
    <mergeCell ref="I73:J73"/>
    <mergeCell ref="I15:J15"/>
    <mergeCell ref="E38:F38"/>
    <mergeCell ref="G52:H52"/>
    <mergeCell ref="I52:J52"/>
    <mergeCell ref="E45:F45"/>
    <mergeCell ref="E51:F51"/>
    <mergeCell ref="E24:F24"/>
    <mergeCell ref="E58:F58"/>
    <mergeCell ref="G24:H24"/>
    <mergeCell ref="G58:H58"/>
    <mergeCell ref="E47:F47"/>
    <mergeCell ref="G47:H47"/>
    <mergeCell ref="E57:F57"/>
    <mergeCell ref="E26:F26"/>
    <mergeCell ref="E39:F39"/>
    <mergeCell ref="G26:H26"/>
    <mergeCell ref="E33:F33"/>
    <mergeCell ref="G33:H33"/>
    <mergeCell ref="I62:J62"/>
    <mergeCell ref="E3:J3"/>
    <mergeCell ref="I37:J37"/>
    <mergeCell ref="E72:F72"/>
    <mergeCell ref="G23:H23"/>
    <mergeCell ref="G36:H36"/>
    <mergeCell ref="E71:F71"/>
    <mergeCell ref="G71:H71"/>
    <mergeCell ref="I58:J58"/>
    <mergeCell ref="E50:F50"/>
    <mergeCell ref="E9:F9"/>
    <mergeCell ref="G57:H57"/>
    <mergeCell ref="E52:F52"/>
    <mergeCell ref="G59:H59"/>
    <mergeCell ref="I9:J9"/>
    <mergeCell ref="I21:J21"/>
    <mergeCell ref="E48:F48"/>
    <mergeCell ref="G48:H48"/>
    <mergeCell ref="G45:H45"/>
    <mergeCell ref="G27:H27"/>
    <mergeCell ref="E40:F40"/>
    <mergeCell ref="I12:J12"/>
    <mergeCell ref="I50:J50"/>
    <mergeCell ref="I57:J57"/>
    <mergeCell ref="E60:F60"/>
    <mergeCell ref="E75:F75"/>
    <mergeCell ref="G14:H14"/>
    <mergeCell ref="G25:H25"/>
    <mergeCell ref="G75:H75"/>
    <mergeCell ref="I69:J69"/>
    <mergeCell ref="G51:H51"/>
    <mergeCell ref="G61:H61"/>
    <mergeCell ref="I45:J45"/>
    <mergeCell ref="G16:H16"/>
    <mergeCell ref="I16:J16"/>
    <mergeCell ref="G50:H50"/>
    <mergeCell ref="G63:H63"/>
    <mergeCell ref="E20:J20"/>
    <mergeCell ref="G37:H37"/>
    <mergeCell ref="E27:F27"/>
    <mergeCell ref="I75:J75"/>
    <mergeCell ref="I40:J40"/>
    <mergeCell ref="G60:H60"/>
    <mergeCell ref="E49:F49"/>
    <mergeCell ref="I60:J60"/>
    <mergeCell ref="G49:H49"/>
    <mergeCell ref="E35:F35"/>
    <mergeCell ref="G35:H35"/>
    <mergeCell ref="I28:J28"/>
    <mergeCell ref="E2:J2"/>
    <mergeCell ref="I13:J13"/>
    <mergeCell ref="I63:J63"/>
    <mergeCell ref="I70:J70"/>
    <mergeCell ref="I59:J59"/>
    <mergeCell ref="G38:H38"/>
    <mergeCell ref="G72:H72"/>
    <mergeCell ref="I38:J38"/>
    <mergeCell ref="G21:H21"/>
    <mergeCell ref="E37:F37"/>
    <mergeCell ref="E32:J32"/>
    <mergeCell ref="I51:J51"/>
    <mergeCell ref="I14:J14"/>
    <mergeCell ref="I24:J24"/>
    <mergeCell ref="E64:F64"/>
    <mergeCell ref="I47:J47"/>
    <mergeCell ref="E23:F23"/>
    <mergeCell ref="G39:H39"/>
    <mergeCell ref="I26:J26"/>
    <mergeCell ref="E10:F10"/>
    <mergeCell ref="I39:J39"/>
    <mergeCell ref="I33:J33"/>
    <mergeCell ref="E8:J8"/>
    <mergeCell ref="I10:J10"/>
    <mergeCell ref="E62:F62"/>
    <mergeCell ref="G62:H62"/>
    <mergeCell ref="G40:H40"/>
    <mergeCell ref="G74:H74"/>
    <mergeCell ref="I74:J74"/>
    <mergeCell ref="E34:F34"/>
    <mergeCell ref="E46:F46"/>
    <mergeCell ref="G46:H46"/>
    <mergeCell ref="E44:J44"/>
    <mergeCell ref="I49:J49"/>
    <mergeCell ref="E73:F73"/>
    <mergeCell ref="G73:H73"/>
    <mergeCell ref="I34:J34"/>
    <mergeCell ref="I46:J46"/>
    <mergeCell ref="E74:F74"/>
    <mergeCell ref="I36:J36"/>
    <mergeCell ref="E12:F12"/>
    <mergeCell ref="I27:J27"/>
    <mergeCell ref="E56:J56"/>
    <mergeCell ref="E59:F59"/>
    <mergeCell ref="I48:J48"/>
    <mergeCell ref="I61:J61"/>
    <mergeCell ref="G10:H10"/>
    <mergeCell ref="I35:J35"/>
    <mergeCell ref="E28:F28"/>
    <mergeCell ref="G28:H28"/>
    <mergeCell ref="I22:J22"/>
    <mergeCell ref="E11:F11"/>
    <mergeCell ref="G11:H11"/>
    <mergeCell ref="I11:J11"/>
    <mergeCell ref="E13:F13"/>
    <mergeCell ref="I25:J25"/>
    <mergeCell ref="E22:F22"/>
    <mergeCell ref="E80:J80"/>
    <mergeCell ref="E81:F81"/>
    <mergeCell ref="G81:H81"/>
    <mergeCell ref="I81:J81"/>
    <mergeCell ref="E82:F82"/>
    <mergeCell ref="G82:H82"/>
    <mergeCell ref="I82:J82"/>
    <mergeCell ref="E83:F83"/>
    <mergeCell ref="G83:H83"/>
    <mergeCell ref="I83:J83"/>
    <mergeCell ref="E84:F84"/>
    <mergeCell ref="G84:H84"/>
    <mergeCell ref="I84:J84"/>
    <mergeCell ref="E85:F85"/>
    <mergeCell ref="G85:H85"/>
    <mergeCell ref="I85:J85"/>
    <mergeCell ref="E86:F86"/>
    <mergeCell ref="G86:H86"/>
    <mergeCell ref="I86:J86"/>
    <mergeCell ref="G87:H87"/>
    <mergeCell ref="I87:J87"/>
    <mergeCell ref="E88:F88"/>
    <mergeCell ref="G88:H88"/>
    <mergeCell ref="I88:J88"/>
    <mergeCell ref="E93:J93"/>
    <mergeCell ref="E94:F94"/>
    <mergeCell ref="G94:H94"/>
    <mergeCell ref="I94:J94"/>
    <mergeCell ref="E101:F101"/>
    <mergeCell ref="G101:H101"/>
    <mergeCell ref="I101:J101"/>
    <mergeCell ref="G13:H13"/>
    <mergeCell ref="G12:H12"/>
    <mergeCell ref="E98:F98"/>
    <mergeCell ref="G98:H98"/>
    <mergeCell ref="I98:J98"/>
    <mergeCell ref="E99:F99"/>
    <mergeCell ref="G99:H99"/>
    <mergeCell ref="I99:J99"/>
    <mergeCell ref="E100:F100"/>
    <mergeCell ref="G100:H100"/>
    <mergeCell ref="I100:J100"/>
    <mergeCell ref="E95:F95"/>
    <mergeCell ref="G95:H95"/>
    <mergeCell ref="I95:J95"/>
    <mergeCell ref="E96:F96"/>
    <mergeCell ref="G96:H96"/>
    <mergeCell ref="I96:J96"/>
    <mergeCell ref="E97:F97"/>
    <mergeCell ref="G97:H97"/>
    <mergeCell ref="I97:J97"/>
    <mergeCell ref="E87:F8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A1A1B"/>
  </sheetPr>
  <dimension ref="A1:I100"/>
  <sheetViews>
    <sheetView showGridLines="0" workbookViewId="0">
      <selection activeCell="G11" sqref="G11:I11"/>
    </sheetView>
  </sheetViews>
  <sheetFormatPr baseColWidth="10" defaultColWidth="9.140625" defaultRowHeight="15" x14ac:dyDescent="0.25"/>
  <cols>
    <col min="1" max="1" width="1.7109375" style="22" customWidth="1"/>
    <col min="2" max="2" width="1.7109375" style="23" customWidth="1"/>
    <col min="3" max="3" width="1.7109375" style="25" customWidth="1"/>
    <col min="4" max="4" width="3" customWidth="1"/>
    <col min="5" max="5" width="28" customWidth="1"/>
    <col min="6" max="9" width="22" customWidth="1"/>
    <col min="10" max="10" width="3" customWidth="1"/>
  </cols>
  <sheetData>
    <row r="1" spans="5:9" ht="9.9499999999999993" customHeight="1" x14ac:dyDescent="0.25"/>
    <row r="2" spans="5:9" ht="50.1" customHeight="1" x14ac:dyDescent="0.25">
      <c r="E2" s="54" t="s">
        <v>173</v>
      </c>
      <c r="F2" s="54"/>
      <c r="G2" s="54"/>
      <c r="H2" s="54"/>
      <c r="I2" s="54"/>
    </row>
    <row r="3" spans="5:9" ht="21.95" customHeight="1" x14ac:dyDescent="0.25">
      <c r="E3" s="50" t="s">
        <v>174</v>
      </c>
      <c r="F3" s="50"/>
      <c r="G3" s="50"/>
      <c r="H3" s="50"/>
      <c r="I3" s="50"/>
    </row>
    <row r="5" spans="5:9" ht="8.1" customHeight="1" x14ac:dyDescent="0.25"/>
    <row r="6" spans="5:9" ht="39.950000000000003" customHeight="1" x14ac:dyDescent="0.25">
      <c r="E6" s="98" t="s">
        <v>175</v>
      </c>
      <c r="F6" s="49"/>
      <c r="G6" s="49"/>
      <c r="H6" s="49"/>
      <c r="I6" s="49"/>
    </row>
    <row r="7" spans="5:9" ht="54.95" customHeight="1" x14ac:dyDescent="0.25">
      <c r="E7" s="99" t="s">
        <v>176</v>
      </c>
      <c r="F7" s="49"/>
      <c r="G7" s="49"/>
      <c r="H7" s="49"/>
      <c r="I7" s="49"/>
    </row>
    <row r="8" spans="5:9" ht="24.95" customHeight="1" x14ac:dyDescent="0.25">
      <c r="E8" s="79" t="s">
        <v>177</v>
      </c>
      <c r="F8" s="49"/>
      <c r="G8" s="79" t="s">
        <v>178</v>
      </c>
      <c r="H8" s="49"/>
      <c r="I8" s="49"/>
    </row>
    <row r="9" spans="5:9" ht="35.1" customHeight="1" x14ac:dyDescent="0.25">
      <c r="E9" s="91" t="s">
        <v>179</v>
      </c>
      <c r="F9" s="49"/>
      <c r="G9" s="91" t="s">
        <v>180</v>
      </c>
      <c r="H9" s="49"/>
      <c r="I9" s="49"/>
    </row>
    <row r="10" spans="5:9" ht="35.1" customHeight="1" x14ac:dyDescent="0.25">
      <c r="E10" s="81" t="s">
        <v>181</v>
      </c>
      <c r="F10" s="49"/>
      <c r="G10" s="81" t="s">
        <v>182</v>
      </c>
      <c r="H10" s="49"/>
      <c r="I10" s="49"/>
    </row>
    <row r="11" spans="5:9" ht="35.1" customHeight="1" x14ac:dyDescent="0.25">
      <c r="E11" s="91" t="s">
        <v>183</v>
      </c>
      <c r="F11" s="49"/>
      <c r="G11" s="91" t="s">
        <v>184</v>
      </c>
      <c r="H11" s="49"/>
      <c r="I11" s="49"/>
    </row>
    <row r="12" spans="5:9" ht="35.1" customHeight="1" x14ac:dyDescent="0.25">
      <c r="E12" s="81" t="s">
        <v>185</v>
      </c>
      <c r="F12" s="49"/>
      <c r="G12" s="81" t="s">
        <v>186</v>
      </c>
      <c r="H12" s="49"/>
      <c r="I12" s="49"/>
    </row>
    <row r="13" spans="5:9" ht="35.1" customHeight="1" x14ac:dyDescent="0.25">
      <c r="E13" s="91" t="s">
        <v>187</v>
      </c>
      <c r="F13" s="49"/>
      <c r="G13" s="91" t="s">
        <v>188</v>
      </c>
      <c r="H13" s="49"/>
      <c r="I13" s="49"/>
    </row>
    <row r="14" spans="5:9" ht="35.1" customHeight="1" x14ac:dyDescent="0.25">
      <c r="E14" s="81" t="s">
        <v>189</v>
      </c>
      <c r="F14" s="49"/>
      <c r="G14" s="81" t="s">
        <v>190</v>
      </c>
      <c r="H14" s="49"/>
      <c r="I14" s="49"/>
    </row>
    <row r="15" spans="5:9" ht="24.95" customHeight="1" x14ac:dyDescent="0.25">
      <c r="E15" s="79" t="s">
        <v>191</v>
      </c>
      <c r="F15" s="49"/>
      <c r="G15" s="49"/>
      <c r="H15" s="49"/>
      <c r="I15" s="49"/>
    </row>
    <row r="16" spans="5:9" ht="21.95" customHeight="1" x14ac:dyDescent="0.25">
      <c r="E16" s="19" t="s">
        <v>192</v>
      </c>
      <c r="F16" s="19" t="s">
        <v>193</v>
      </c>
      <c r="G16" s="19" t="s">
        <v>192</v>
      </c>
      <c r="H16" s="19" t="s">
        <v>193</v>
      </c>
    </row>
    <row r="17" spans="5:9" ht="21.95" customHeight="1" x14ac:dyDescent="0.25">
      <c r="E17" s="3" t="s">
        <v>194</v>
      </c>
      <c r="F17" s="6" t="s">
        <v>195</v>
      </c>
      <c r="G17" s="3" t="s">
        <v>196</v>
      </c>
      <c r="H17" s="6" t="s">
        <v>197</v>
      </c>
    </row>
    <row r="18" spans="5:9" ht="21.95" customHeight="1" x14ac:dyDescent="0.25">
      <c r="E18" s="20" t="s">
        <v>198</v>
      </c>
      <c r="F18" s="21" t="s">
        <v>199</v>
      </c>
      <c r="G18" s="20" t="s">
        <v>200</v>
      </c>
      <c r="H18" s="21" t="s">
        <v>201</v>
      </c>
    </row>
    <row r="19" spans="5:9" ht="24.95" customHeight="1" x14ac:dyDescent="0.25">
      <c r="E19" s="96" t="s">
        <v>202</v>
      </c>
      <c r="F19" s="49"/>
      <c r="G19" s="49"/>
      <c r="H19" s="49"/>
      <c r="I19" s="49"/>
    </row>
    <row r="20" spans="5:9" ht="20.100000000000001" customHeight="1" x14ac:dyDescent="0.25">
      <c r="E20" s="93" t="s">
        <v>203</v>
      </c>
      <c r="F20" s="49"/>
      <c r="G20" s="49"/>
      <c r="H20" s="49"/>
      <c r="I20" s="49"/>
    </row>
    <row r="21" spans="5:9" ht="20.100000000000001" customHeight="1" x14ac:dyDescent="0.25">
      <c r="E21" s="97" t="s">
        <v>204</v>
      </c>
      <c r="F21" s="49"/>
      <c r="G21" s="49"/>
      <c r="H21" s="49"/>
      <c r="I21" s="49"/>
    </row>
    <row r="22" spans="5:9" ht="20.100000000000001" customHeight="1" x14ac:dyDescent="0.25">
      <c r="E22" s="93" t="s">
        <v>205</v>
      </c>
      <c r="F22" s="49"/>
      <c r="G22" s="49"/>
      <c r="H22" s="49"/>
      <c r="I22" s="49"/>
    </row>
    <row r="23" spans="5:9" ht="20.100000000000001" customHeight="1" x14ac:dyDescent="0.25">
      <c r="E23" s="97" t="s">
        <v>206</v>
      </c>
      <c r="F23" s="49"/>
      <c r="G23" s="49"/>
      <c r="H23" s="49"/>
      <c r="I23" s="49"/>
    </row>
    <row r="25" spans="5:9" ht="8.1" customHeight="1" x14ac:dyDescent="0.25"/>
    <row r="26" spans="5:9" ht="39.950000000000003" customHeight="1" x14ac:dyDescent="0.25">
      <c r="E26" s="87" t="s">
        <v>207</v>
      </c>
      <c r="F26" s="55"/>
      <c r="G26" s="55"/>
      <c r="H26" s="55"/>
      <c r="I26" s="55"/>
    </row>
    <row r="27" spans="5:9" ht="54.95" customHeight="1" x14ac:dyDescent="0.25">
      <c r="E27" s="100" t="s">
        <v>208</v>
      </c>
      <c r="F27" s="55"/>
      <c r="G27" s="55"/>
      <c r="H27" s="55"/>
      <c r="I27" s="55"/>
    </row>
    <row r="28" spans="5:9" ht="24.95" customHeight="1" x14ac:dyDescent="0.25">
      <c r="E28" s="90" t="s">
        <v>177</v>
      </c>
      <c r="F28" s="55"/>
      <c r="G28" s="90" t="s">
        <v>178</v>
      </c>
      <c r="H28" s="55"/>
      <c r="I28" s="55"/>
    </row>
    <row r="29" spans="5:9" ht="35.1" customHeight="1" x14ac:dyDescent="0.25">
      <c r="E29" s="88" t="s">
        <v>209</v>
      </c>
      <c r="F29" s="55"/>
      <c r="G29" s="88" t="s">
        <v>210</v>
      </c>
      <c r="H29" s="55"/>
      <c r="I29" s="55"/>
    </row>
    <row r="30" spans="5:9" ht="35.1" customHeight="1" x14ac:dyDescent="0.25">
      <c r="E30" s="83" t="s">
        <v>211</v>
      </c>
      <c r="F30" s="55"/>
      <c r="G30" s="83" t="s">
        <v>212</v>
      </c>
      <c r="H30" s="55"/>
      <c r="I30" s="55"/>
    </row>
    <row r="31" spans="5:9" ht="35.1" customHeight="1" x14ac:dyDescent="0.25">
      <c r="E31" s="88" t="s">
        <v>213</v>
      </c>
      <c r="F31" s="55"/>
      <c r="G31" s="88" t="s">
        <v>214</v>
      </c>
      <c r="H31" s="55"/>
      <c r="I31" s="55"/>
    </row>
    <row r="32" spans="5:9" ht="35.1" customHeight="1" x14ac:dyDescent="0.25">
      <c r="E32" s="83" t="s">
        <v>215</v>
      </c>
      <c r="F32" s="55"/>
      <c r="G32" s="83" t="s">
        <v>216</v>
      </c>
      <c r="H32" s="55"/>
      <c r="I32" s="55"/>
    </row>
    <row r="33" spans="5:9" ht="35.1" customHeight="1" x14ac:dyDescent="0.25">
      <c r="E33" s="88" t="s">
        <v>217</v>
      </c>
      <c r="F33" s="55"/>
      <c r="G33" s="88" t="s">
        <v>218</v>
      </c>
      <c r="H33" s="55"/>
      <c r="I33" s="55"/>
    </row>
    <row r="34" spans="5:9" ht="35.1" customHeight="1" x14ac:dyDescent="0.25">
      <c r="E34" s="83" t="s">
        <v>219</v>
      </c>
      <c r="F34" s="55"/>
      <c r="G34" s="83" t="s">
        <v>220</v>
      </c>
      <c r="H34" s="55"/>
      <c r="I34" s="55"/>
    </row>
    <row r="35" spans="5:9" ht="24.95" customHeight="1" x14ac:dyDescent="0.25">
      <c r="E35" s="90" t="s">
        <v>191</v>
      </c>
      <c r="F35" s="55"/>
      <c r="G35" s="55"/>
      <c r="H35" s="55"/>
      <c r="I35" s="55"/>
    </row>
    <row r="36" spans="5:9" ht="21.95" customHeight="1" x14ac:dyDescent="0.25">
      <c r="E36" s="7" t="s">
        <v>192</v>
      </c>
      <c r="F36" s="7" t="s">
        <v>193</v>
      </c>
      <c r="G36" s="7" t="s">
        <v>192</v>
      </c>
      <c r="H36" s="7" t="s">
        <v>193</v>
      </c>
    </row>
    <row r="37" spans="5:9" ht="21.95" customHeight="1" x14ac:dyDescent="0.25">
      <c r="E37" s="8" t="s">
        <v>194</v>
      </c>
      <c r="F37" s="9" t="s">
        <v>221</v>
      </c>
      <c r="G37" s="8" t="s">
        <v>196</v>
      </c>
      <c r="H37" s="9" t="s">
        <v>222</v>
      </c>
    </row>
    <row r="38" spans="5:9" ht="21.95" customHeight="1" x14ac:dyDescent="0.25">
      <c r="E38" s="2" t="s">
        <v>198</v>
      </c>
      <c r="F38" s="9" t="s">
        <v>223</v>
      </c>
      <c r="G38" s="2" t="s">
        <v>224</v>
      </c>
      <c r="H38" s="9" t="s">
        <v>225</v>
      </c>
    </row>
    <row r="39" spans="5:9" ht="24.95" customHeight="1" x14ac:dyDescent="0.25">
      <c r="E39" s="86" t="s">
        <v>202</v>
      </c>
      <c r="F39" s="55"/>
      <c r="G39" s="55"/>
      <c r="H39" s="55"/>
      <c r="I39" s="55"/>
    </row>
    <row r="40" spans="5:9" ht="20.100000000000001" customHeight="1" x14ac:dyDescent="0.25">
      <c r="E40" s="82" t="s">
        <v>226</v>
      </c>
      <c r="F40" s="55"/>
      <c r="G40" s="55"/>
      <c r="H40" s="55"/>
      <c r="I40" s="55"/>
    </row>
    <row r="41" spans="5:9" ht="20.100000000000001" customHeight="1" x14ac:dyDescent="0.25">
      <c r="E41" s="78" t="s">
        <v>227</v>
      </c>
      <c r="F41" s="55"/>
      <c r="G41" s="55"/>
      <c r="H41" s="55"/>
      <c r="I41" s="55"/>
    </row>
    <row r="42" spans="5:9" ht="20.100000000000001" customHeight="1" x14ac:dyDescent="0.25">
      <c r="E42" s="82" t="s">
        <v>228</v>
      </c>
      <c r="F42" s="55"/>
      <c r="G42" s="55"/>
      <c r="H42" s="55"/>
      <c r="I42" s="55"/>
    </row>
    <row r="43" spans="5:9" ht="20.100000000000001" customHeight="1" x14ac:dyDescent="0.25">
      <c r="E43" s="78" t="s">
        <v>229</v>
      </c>
      <c r="F43" s="55"/>
      <c r="G43" s="55"/>
      <c r="H43" s="55"/>
      <c r="I43" s="55"/>
    </row>
    <row r="45" spans="5:9" ht="8.1" customHeight="1" x14ac:dyDescent="0.25"/>
    <row r="46" spans="5:9" ht="39.950000000000003" customHeight="1" x14ac:dyDescent="0.25">
      <c r="E46" s="95" t="s">
        <v>230</v>
      </c>
      <c r="F46" s="55"/>
      <c r="G46" s="55"/>
      <c r="H46" s="55"/>
      <c r="I46" s="55"/>
    </row>
    <row r="47" spans="5:9" ht="54.95" customHeight="1" x14ac:dyDescent="0.25">
      <c r="E47" s="94" t="s">
        <v>231</v>
      </c>
      <c r="F47" s="55"/>
      <c r="G47" s="55"/>
      <c r="H47" s="55"/>
      <c r="I47" s="55"/>
    </row>
    <row r="48" spans="5:9" ht="24.95" customHeight="1" x14ac:dyDescent="0.25">
      <c r="E48" s="85" t="s">
        <v>177</v>
      </c>
      <c r="F48" s="55"/>
      <c r="G48" s="85" t="s">
        <v>178</v>
      </c>
      <c r="H48" s="55"/>
      <c r="I48" s="55"/>
    </row>
    <row r="49" spans="5:9" ht="35.1" customHeight="1" x14ac:dyDescent="0.25">
      <c r="E49" s="89" t="s">
        <v>232</v>
      </c>
      <c r="F49" s="55"/>
      <c r="G49" s="89" t="s">
        <v>233</v>
      </c>
      <c r="H49" s="55"/>
      <c r="I49" s="55"/>
    </row>
    <row r="50" spans="5:9" ht="35.1" customHeight="1" x14ac:dyDescent="0.25">
      <c r="E50" s="83" t="s">
        <v>234</v>
      </c>
      <c r="F50" s="55"/>
      <c r="G50" s="83" t="s">
        <v>235</v>
      </c>
      <c r="H50" s="55"/>
      <c r="I50" s="55"/>
    </row>
    <row r="51" spans="5:9" ht="35.1" customHeight="1" x14ac:dyDescent="0.25">
      <c r="E51" s="89" t="s">
        <v>236</v>
      </c>
      <c r="F51" s="55"/>
      <c r="G51" s="89" t="s">
        <v>237</v>
      </c>
      <c r="H51" s="55"/>
      <c r="I51" s="55"/>
    </row>
    <row r="52" spans="5:9" ht="35.1" customHeight="1" x14ac:dyDescent="0.25">
      <c r="E52" s="83" t="s">
        <v>238</v>
      </c>
      <c r="F52" s="55"/>
      <c r="G52" s="83" t="s">
        <v>239</v>
      </c>
      <c r="H52" s="55"/>
      <c r="I52" s="55"/>
    </row>
    <row r="53" spans="5:9" ht="35.1" customHeight="1" x14ac:dyDescent="0.25">
      <c r="E53" s="89" t="s">
        <v>240</v>
      </c>
      <c r="F53" s="55"/>
      <c r="G53" s="89" t="s">
        <v>241</v>
      </c>
      <c r="H53" s="55"/>
      <c r="I53" s="55"/>
    </row>
    <row r="54" spans="5:9" ht="35.1" customHeight="1" x14ac:dyDescent="0.25">
      <c r="E54" s="83" t="s">
        <v>242</v>
      </c>
      <c r="F54" s="55"/>
      <c r="G54" s="83" t="s">
        <v>243</v>
      </c>
      <c r="H54" s="55"/>
      <c r="I54" s="55"/>
    </row>
    <row r="55" spans="5:9" ht="24.95" customHeight="1" x14ac:dyDescent="0.25">
      <c r="E55" s="85" t="s">
        <v>191</v>
      </c>
      <c r="F55" s="55"/>
      <c r="G55" s="55"/>
      <c r="H55" s="55"/>
      <c r="I55" s="55"/>
    </row>
    <row r="56" spans="5:9" ht="21.95" customHeight="1" x14ac:dyDescent="0.25">
      <c r="E56" s="4" t="s">
        <v>192</v>
      </c>
      <c r="F56" s="4" t="s">
        <v>193</v>
      </c>
      <c r="G56" s="4" t="s">
        <v>192</v>
      </c>
      <c r="H56" s="4" t="s">
        <v>193</v>
      </c>
    </row>
    <row r="57" spans="5:9" ht="21.95" customHeight="1" x14ac:dyDescent="0.25">
      <c r="E57" s="10" t="s">
        <v>194</v>
      </c>
      <c r="F57" s="11" t="s">
        <v>244</v>
      </c>
      <c r="G57" s="10" t="s">
        <v>196</v>
      </c>
      <c r="H57" s="11" t="s">
        <v>245</v>
      </c>
    </row>
    <row r="58" spans="5:9" ht="21.95" customHeight="1" x14ac:dyDescent="0.25">
      <c r="E58" s="2" t="s">
        <v>198</v>
      </c>
      <c r="F58" s="11" t="s">
        <v>246</v>
      </c>
      <c r="G58" s="2" t="s">
        <v>224</v>
      </c>
      <c r="H58" s="11" t="s">
        <v>247</v>
      </c>
    </row>
    <row r="59" spans="5:9" ht="24.95" customHeight="1" x14ac:dyDescent="0.25">
      <c r="E59" s="86" t="s">
        <v>202</v>
      </c>
      <c r="F59" s="55"/>
      <c r="G59" s="55"/>
      <c r="H59" s="55"/>
      <c r="I59" s="55"/>
    </row>
    <row r="60" spans="5:9" ht="20.100000000000001" customHeight="1" x14ac:dyDescent="0.25">
      <c r="E60" s="82" t="s">
        <v>248</v>
      </c>
      <c r="F60" s="55"/>
      <c r="G60" s="55"/>
      <c r="H60" s="55"/>
      <c r="I60" s="55"/>
    </row>
    <row r="61" spans="5:9" ht="20.100000000000001" customHeight="1" x14ac:dyDescent="0.25">
      <c r="E61" s="78" t="s">
        <v>249</v>
      </c>
      <c r="F61" s="55"/>
      <c r="G61" s="55"/>
      <c r="H61" s="55"/>
      <c r="I61" s="55"/>
    </row>
    <row r="62" spans="5:9" ht="20.100000000000001" customHeight="1" x14ac:dyDescent="0.25">
      <c r="E62" s="82" t="s">
        <v>250</v>
      </c>
      <c r="F62" s="55"/>
      <c r="G62" s="55"/>
      <c r="H62" s="55"/>
      <c r="I62" s="55"/>
    </row>
    <row r="63" spans="5:9" ht="20.100000000000001" customHeight="1" x14ac:dyDescent="0.25">
      <c r="E63" s="78" t="s">
        <v>251</v>
      </c>
      <c r="F63" s="55"/>
      <c r="G63" s="55"/>
      <c r="H63" s="55"/>
      <c r="I63" s="55"/>
    </row>
    <row r="65" spans="5:9" ht="8.1" customHeight="1" x14ac:dyDescent="0.25"/>
    <row r="66" spans="5:9" ht="39.950000000000003" customHeight="1" x14ac:dyDescent="0.25">
      <c r="E66" s="92" t="s">
        <v>252</v>
      </c>
      <c r="F66" s="55"/>
      <c r="G66" s="55"/>
      <c r="H66" s="55"/>
      <c r="I66" s="55"/>
    </row>
    <row r="67" spans="5:9" ht="54.95" customHeight="1" x14ac:dyDescent="0.25">
      <c r="E67" s="77" t="s">
        <v>253</v>
      </c>
      <c r="F67" s="55"/>
      <c r="G67" s="55"/>
      <c r="H67" s="55"/>
      <c r="I67" s="55"/>
    </row>
    <row r="68" spans="5:9" ht="24.95" customHeight="1" x14ac:dyDescent="0.25">
      <c r="E68" s="84" t="s">
        <v>177</v>
      </c>
      <c r="F68" s="55"/>
      <c r="G68" s="84" t="s">
        <v>178</v>
      </c>
      <c r="H68" s="55"/>
      <c r="I68" s="55"/>
    </row>
    <row r="69" spans="5:9" ht="35.1" customHeight="1" x14ac:dyDescent="0.25">
      <c r="E69" s="80" t="s">
        <v>254</v>
      </c>
      <c r="F69" s="55"/>
      <c r="G69" s="80" t="s">
        <v>255</v>
      </c>
      <c r="H69" s="55"/>
      <c r="I69" s="55"/>
    </row>
    <row r="70" spans="5:9" ht="35.1" customHeight="1" x14ac:dyDescent="0.25">
      <c r="E70" s="83" t="s">
        <v>256</v>
      </c>
      <c r="F70" s="55"/>
      <c r="G70" s="83" t="s">
        <v>257</v>
      </c>
      <c r="H70" s="55"/>
      <c r="I70" s="55"/>
    </row>
    <row r="71" spans="5:9" ht="35.1" customHeight="1" x14ac:dyDescent="0.25">
      <c r="E71" s="80" t="s">
        <v>258</v>
      </c>
      <c r="F71" s="55"/>
      <c r="G71" s="80" t="s">
        <v>259</v>
      </c>
      <c r="H71" s="55"/>
      <c r="I71" s="55"/>
    </row>
    <row r="72" spans="5:9" ht="35.1" customHeight="1" x14ac:dyDescent="0.25">
      <c r="E72" s="83" t="s">
        <v>260</v>
      </c>
      <c r="F72" s="55"/>
      <c r="G72" s="83" t="s">
        <v>261</v>
      </c>
      <c r="H72" s="55"/>
      <c r="I72" s="55"/>
    </row>
    <row r="73" spans="5:9" ht="35.1" customHeight="1" x14ac:dyDescent="0.25">
      <c r="E73" s="80" t="s">
        <v>262</v>
      </c>
      <c r="F73" s="55"/>
      <c r="G73" s="80" t="s">
        <v>263</v>
      </c>
      <c r="H73" s="55"/>
      <c r="I73" s="55"/>
    </row>
    <row r="74" spans="5:9" ht="35.1" customHeight="1" x14ac:dyDescent="0.25">
      <c r="E74" s="83" t="s">
        <v>264</v>
      </c>
      <c r="F74" s="55"/>
      <c r="G74" s="83" t="s">
        <v>265</v>
      </c>
      <c r="H74" s="55"/>
      <c r="I74" s="55"/>
    </row>
    <row r="75" spans="5:9" ht="24.95" customHeight="1" x14ac:dyDescent="0.25">
      <c r="E75" s="84" t="s">
        <v>191</v>
      </c>
      <c r="F75" s="55"/>
      <c r="G75" s="55"/>
      <c r="H75" s="55"/>
      <c r="I75" s="55"/>
    </row>
    <row r="76" spans="5:9" ht="21.95" customHeight="1" x14ac:dyDescent="0.25">
      <c r="E76" s="5" t="s">
        <v>192</v>
      </c>
      <c r="F76" s="5" t="s">
        <v>193</v>
      </c>
      <c r="G76" s="5" t="s">
        <v>192</v>
      </c>
      <c r="H76" s="5" t="s">
        <v>193</v>
      </c>
    </row>
    <row r="77" spans="5:9" ht="21.95" customHeight="1" x14ac:dyDescent="0.25">
      <c r="E77" s="12" t="s">
        <v>194</v>
      </c>
      <c r="F77" s="13" t="s">
        <v>266</v>
      </c>
      <c r="G77" s="12" t="s">
        <v>196</v>
      </c>
      <c r="H77" s="13" t="s">
        <v>267</v>
      </c>
    </row>
    <row r="78" spans="5:9" ht="21.95" customHeight="1" x14ac:dyDescent="0.25">
      <c r="E78" s="2" t="s">
        <v>198</v>
      </c>
      <c r="F78" s="13" t="s">
        <v>268</v>
      </c>
      <c r="G78" s="2" t="s">
        <v>224</v>
      </c>
      <c r="H78" s="13" t="s">
        <v>269</v>
      </c>
    </row>
    <row r="79" spans="5:9" ht="24.95" customHeight="1" x14ac:dyDescent="0.25">
      <c r="E79" s="86" t="s">
        <v>202</v>
      </c>
      <c r="F79" s="55"/>
      <c r="G79" s="55"/>
      <c r="H79" s="55"/>
      <c r="I79" s="55"/>
    </row>
    <row r="80" spans="5:9" ht="20.100000000000001" customHeight="1" x14ac:dyDescent="0.25">
      <c r="E80" s="82" t="s">
        <v>270</v>
      </c>
      <c r="F80" s="55"/>
      <c r="G80" s="55"/>
      <c r="H80" s="55"/>
      <c r="I80" s="55"/>
    </row>
    <row r="81" spans="5:9" ht="20.100000000000001" customHeight="1" x14ac:dyDescent="0.25">
      <c r="E81" s="78" t="s">
        <v>271</v>
      </c>
      <c r="F81" s="55"/>
      <c r="G81" s="55"/>
      <c r="H81" s="55"/>
      <c r="I81" s="55"/>
    </row>
    <row r="82" spans="5:9" ht="20.100000000000001" customHeight="1" x14ac:dyDescent="0.25">
      <c r="E82" s="82" t="s">
        <v>272</v>
      </c>
      <c r="F82" s="55"/>
      <c r="G82" s="55"/>
      <c r="H82" s="55"/>
      <c r="I82" s="55"/>
    </row>
    <row r="83" spans="5:9" ht="20.100000000000001" customHeight="1" x14ac:dyDescent="0.25">
      <c r="E83" s="78" t="s">
        <v>273</v>
      </c>
      <c r="F83" s="55"/>
      <c r="G83" s="55"/>
      <c r="H83" s="55"/>
      <c r="I83" s="55"/>
    </row>
    <row r="85" spans="5:9" ht="8.1" customHeight="1" x14ac:dyDescent="0.25"/>
    <row r="86" spans="5:9" ht="30" customHeight="1" x14ac:dyDescent="0.25">
      <c r="E86" s="76" t="s">
        <v>274</v>
      </c>
      <c r="F86" s="55"/>
      <c r="G86" s="55"/>
      <c r="H86" s="55"/>
      <c r="I86" s="55"/>
    </row>
    <row r="87" spans="5:9" ht="24.95" customHeight="1" x14ac:dyDescent="0.25">
      <c r="E87" s="1" t="s">
        <v>275</v>
      </c>
      <c r="F87" s="1" t="s">
        <v>276</v>
      </c>
      <c r="G87" s="1" t="s">
        <v>277</v>
      </c>
      <c r="H87" s="1" t="s">
        <v>278</v>
      </c>
      <c r="I87" s="1" t="s">
        <v>279</v>
      </c>
    </row>
    <row r="88" spans="5:9" ht="21.95" customHeight="1" x14ac:dyDescent="0.25">
      <c r="E88" s="14" t="s">
        <v>280</v>
      </c>
      <c r="F88" s="15" t="s">
        <v>281</v>
      </c>
      <c r="G88" s="16" t="s">
        <v>282</v>
      </c>
      <c r="H88" s="17" t="s">
        <v>283</v>
      </c>
      <c r="I88" s="18" t="s">
        <v>284</v>
      </c>
    </row>
    <row r="89" spans="5:9" ht="21.95" customHeight="1" x14ac:dyDescent="0.25">
      <c r="E89" s="14" t="s">
        <v>285</v>
      </c>
      <c r="F89" s="15" t="s">
        <v>286</v>
      </c>
      <c r="G89" s="16" t="s">
        <v>287</v>
      </c>
      <c r="H89" s="17" t="s">
        <v>288</v>
      </c>
      <c r="I89" s="18" t="s">
        <v>289</v>
      </c>
    </row>
    <row r="90" spans="5:9" ht="21.95" customHeight="1" x14ac:dyDescent="0.25">
      <c r="E90" s="14" t="s">
        <v>290</v>
      </c>
      <c r="F90" s="15" t="s">
        <v>291</v>
      </c>
      <c r="G90" s="16" t="s">
        <v>292</v>
      </c>
      <c r="H90" s="17" t="s">
        <v>293</v>
      </c>
      <c r="I90" s="18" t="s">
        <v>294</v>
      </c>
    </row>
    <row r="91" spans="5:9" ht="21.95" customHeight="1" x14ac:dyDescent="0.25">
      <c r="E91" s="14" t="s">
        <v>295</v>
      </c>
      <c r="F91" s="15" t="s">
        <v>296</v>
      </c>
      <c r="G91" s="16" t="s">
        <v>297</v>
      </c>
      <c r="H91" s="17" t="s">
        <v>298</v>
      </c>
      <c r="I91" s="18" t="s">
        <v>299</v>
      </c>
    </row>
    <row r="92" spans="5:9" ht="21.95" customHeight="1" x14ac:dyDescent="0.25">
      <c r="E92" s="14" t="s">
        <v>300</v>
      </c>
      <c r="F92" s="15" t="s">
        <v>301</v>
      </c>
      <c r="G92" s="16" t="s">
        <v>302</v>
      </c>
      <c r="H92" s="17" t="s">
        <v>303</v>
      </c>
      <c r="I92" s="18" t="s">
        <v>304</v>
      </c>
    </row>
    <row r="93" spans="5:9" ht="21.95" customHeight="1" x14ac:dyDescent="0.25">
      <c r="E93" s="14" t="s">
        <v>305</v>
      </c>
      <c r="F93" s="15" t="s">
        <v>306</v>
      </c>
      <c r="G93" s="16" t="s">
        <v>225</v>
      </c>
      <c r="H93" s="17" t="s">
        <v>247</v>
      </c>
      <c r="I93" s="18" t="s">
        <v>269</v>
      </c>
    </row>
    <row r="94" spans="5:9" ht="21.95" customHeight="1" x14ac:dyDescent="0.25">
      <c r="E94" s="14" t="s">
        <v>103</v>
      </c>
      <c r="F94" s="15" t="s">
        <v>307</v>
      </c>
      <c r="G94" s="16" t="s">
        <v>308</v>
      </c>
      <c r="H94" s="17" t="s">
        <v>308</v>
      </c>
      <c r="I94" s="18" t="s">
        <v>309</v>
      </c>
    </row>
    <row r="95" spans="5:9" ht="21.95" customHeight="1" x14ac:dyDescent="0.25">
      <c r="E95" s="14" t="s">
        <v>310</v>
      </c>
      <c r="F95" s="15" t="s">
        <v>311</v>
      </c>
      <c r="G95" s="16" t="s">
        <v>312</v>
      </c>
      <c r="H95" s="17" t="s">
        <v>312</v>
      </c>
      <c r="I95" s="18" t="s">
        <v>313</v>
      </c>
    </row>
    <row r="96" spans="5:9" ht="21.95" customHeight="1" x14ac:dyDescent="0.25">
      <c r="E96" s="14" t="s">
        <v>314</v>
      </c>
      <c r="F96" s="15" t="s">
        <v>315</v>
      </c>
      <c r="G96" s="16" t="s">
        <v>316</v>
      </c>
      <c r="H96" s="17" t="s">
        <v>317</v>
      </c>
      <c r="I96" s="18" t="s">
        <v>318</v>
      </c>
    </row>
    <row r="97" spans="5:9" ht="21.95" customHeight="1" x14ac:dyDescent="0.25">
      <c r="E97" s="14" t="s">
        <v>319</v>
      </c>
      <c r="F97" s="15" t="s">
        <v>320</v>
      </c>
      <c r="G97" s="16" t="s">
        <v>321</v>
      </c>
      <c r="H97" s="17" t="s">
        <v>322</v>
      </c>
      <c r="I97" s="18" t="s">
        <v>323</v>
      </c>
    </row>
    <row r="100" spans="5:9" ht="15.75" x14ac:dyDescent="0.25">
      <c r="E100" s="24" t="s">
        <v>366</v>
      </c>
    </row>
  </sheetData>
  <sheetProtection algorithmName="SHA-512" hashValue="0aDdoja3yl73rDVtZavsmRXNBL4Bp0kR8q1lVho0xJzcemXGqlXeFlghrD5Vkbu+Lf4h6wBfLix7Uz1iHgfMpA==" saltValue="7d7IncfQZBvqtJwZ1CmcJA==" spinCount="100000" sheet="1" objects="1" scenarios="1"/>
  <mergeCells count="91">
    <mergeCell ref="E7:I7"/>
    <mergeCell ref="G11:I11"/>
    <mergeCell ref="E81:I81"/>
    <mergeCell ref="E3:I3"/>
    <mergeCell ref="E31:F31"/>
    <mergeCell ref="G53:I53"/>
    <mergeCell ref="E27:I27"/>
    <mergeCell ref="E12:F12"/>
    <mergeCell ref="G28:I28"/>
    <mergeCell ref="E69:F69"/>
    <mergeCell ref="E80:I80"/>
    <mergeCell ref="E32:F32"/>
    <mergeCell ref="E43:I43"/>
    <mergeCell ref="E11:F11"/>
    <mergeCell ref="G74:I74"/>
    <mergeCell ref="G68:I68"/>
    <mergeCell ref="E2:I2"/>
    <mergeCell ref="E42:I42"/>
    <mergeCell ref="G12:I12"/>
    <mergeCell ref="E60:I60"/>
    <mergeCell ref="G9:I9"/>
    <mergeCell ref="E14:F14"/>
    <mergeCell ref="G30:I30"/>
    <mergeCell ref="E13:F13"/>
    <mergeCell ref="G14:I14"/>
    <mergeCell ref="G29:I29"/>
    <mergeCell ref="E49:F49"/>
    <mergeCell ref="E6:I6"/>
    <mergeCell ref="E33:F33"/>
    <mergeCell ref="E20:I20"/>
    <mergeCell ref="E15:I15"/>
    <mergeCell ref="E51:F51"/>
    <mergeCell ref="E53:F53"/>
    <mergeCell ref="E82:I82"/>
    <mergeCell ref="E29:F29"/>
    <mergeCell ref="E19:I19"/>
    <mergeCell ref="G54:I54"/>
    <mergeCell ref="G69:I69"/>
    <mergeCell ref="E21:I21"/>
    <mergeCell ref="E23:I23"/>
    <mergeCell ref="E48:F48"/>
    <mergeCell ref="G49:I49"/>
    <mergeCell ref="E35:I35"/>
    <mergeCell ref="E83:I83"/>
    <mergeCell ref="G31:I31"/>
    <mergeCell ref="E75:I75"/>
    <mergeCell ref="E54:F54"/>
    <mergeCell ref="E47:I47"/>
    <mergeCell ref="E62:I62"/>
    <mergeCell ref="E72:F72"/>
    <mergeCell ref="G32:I32"/>
    <mergeCell ref="E59:I59"/>
    <mergeCell ref="E46:I46"/>
    <mergeCell ref="E71:F71"/>
    <mergeCell ref="E52:F52"/>
    <mergeCell ref="E39:I39"/>
    <mergeCell ref="G71:I71"/>
    <mergeCell ref="G72:I72"/>
    <mergeCell ref="E70:F70"/>
    <mergeCell ref="G8:I8"/>
    <mergeCell ref="G33:I33"/>
    <mergeCell ref="G73:I73"/>
    <mergeCell ref="G51:I51"/>
    <mergeCell ref="E34:F34"/>
    <mergeCell ref="E28:F28"/>
    <mergeCell ref="G50:I50"/>
    <mergeCell ref="E9:F9"/>
    <mergeCell ref="G34:I34"/>
    <mergeCell ref="E30:F30"/>
    <mergeCell ref="E63:I63"/>
    <mergeCell ref="G13:I13"/>
    <mergeCell ref="E66:I66"/>
    <mergeCell ref="G70:I70"/>
    <mergeCell ref="G48:I48"/>
    <mergeCell ref="E22:I22"/>
    <mergeCell ref="E86:I86"/>
    <mergeCell ref="E67:I67"/>
    <mergeCell ref="E61:I61"/>
    <mergeCell ref="E8:F8"/>
    <mergeCell ref="E73:F73"/>
    <mergeCell ref="E10:F10"/>
    <mergeCell ref="E40:I40"/>
    <mergeCell ref="G10:I10"/>
    <mergeCell ref="E74:F74"/>
    <mergeCell ref="E68:F68"/>
    <mergeCell ref="E55:I55"/>
    <mergeCell ref="E50:F50"/>
    <mergeCell ref="E79:I79"/>
    <mergeCell ref="G52:I52"/>
    <mergeCell ref="E26:I26"/>
    <mergeCell ref="E41:I4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Ts>
  <T C="-15066597" N="TOC" G="" P="False" K="279113ad-8b06-40a8-b0f1-6efead81acb8:2313853654416" T="Worksheet" PI="0" L="" D="" A="639114520531904806" I="1"/>
  <T C="-15066597" N="1. Datos Personales" G="" P="False" K="279113ad-8b06-40a8-b0f1-6efead81acb8:2313401361504" T="Worksheet" PI="0" L="" D="" A="639114520100120136" I="2"/>
  <T C="-15066597" N="3. Gastos" G="" P="False" K="279113ad-8b06-40a8-b0f1-6efead81acb8:2313401372320" T="Worksheet" PI="0" L="" D="" A="639114513226456580" I="4"/>
  <T C="-15066597" N="2. Ingresos" G="" P="False" K="279113ad-8b06-40a8-b0f1-6efead81acb8:2313401356096" T="Worksheet" PI="0" L="" D="" A="639114513201235209" I="3"/>
  <T C="-15066597" N="6. Estrategias por Edad" G="" P="False" K="279113ad-8b06-40a8-b0f1-6efead81acb8:2313401377728" T="Worksheet" PI="0" L="" D="" A="639114501689838598" I="7"/>
  <T C="-15066597" N="5. Ahorro Específico" G="" P="False" K="279113ad-8b06-40a8-b0f1-6efead81acb8:2313401375024" T="Worksheet" PI="0" L="" D="" A="639114500174967121" I="6"/>
  <T C="-15066597" N="4. Ahorro" G="" P="False" K="279113ad-8b06-40a8-b0f1-6efead81acb8:2313401364208" T="Worksheet" PI="0" L="" D="" A="639114499183912303" I="5"/>
</Ts>
</file>

<file path=customXml/item2.xml><?xml version="1.0" encoding="utf-8"?>
<Tags/>
</file>

<file path=customXml/item3.xml><?xml version="1.0" encoding="utf-8"?>
<State>
  <view layoutAlignment="Hidden" sort="Index" filterText=""/>
  <FilterTags/>
  <FilterColors/>
</State>
</file>

<file path=customXml/item4.xml><?xml version="1.0" encoding="utf-8"?>
<Bookmarks/>
</file>

<file path=customXml/item5.xml><?xml version="1.0" encoding="utf-8"?>
<BookmarkedExcelObjects/>
</file>

<file path=customXml/item6.xml><?xml version="1.0" encoding="utf-8"?>
<Bt/>
</file>

<file path=customXml/itemProps1.xml><?xml version="1.0" encoding="utf-8"?>
<ds:datastoreItem xmlns:ds="http://schemas.openxmlformats.org/officeDocument/2006/customXml" ds:itemID="{15AB9570-47E1-4EFA-95F4-1CE4C193BD86}">
  <ds:schemaRefs/>
</ds:datastoreItem>
</file>

<file path=customXml/itemProps2.xml><?xml version="1.0" encoding="utf-8"?>
<ds:datastoreItem xmlns:ds="http://schemas.openxmlformats.org/officeDocument/2006/customXml" ds:itemID="{7F361605-E543-4A20-BB0E-B6509757FE07}">
  <ds:schemaRefs/>
</ds:datastoreItem>
</file>

<file path=customXml/itemProps3.xml><?xml version="1.0" encoding="utf-8"?>
<ds:datastoreItem xmlns:ds="http://schemas.openxmlformats.org/officeDocument/2006/customXml" ds:itemID="{CF779E93-0E93-4991-8322-614C3C1C7F37}">
  <ds:schemaRefs/>
</ds:datastoreItem>
</file>

<file path=customXml/itemProps4.xml><?xml version="1.0" encoding="utf-8"?>
<ds:datastoreItem xmlns:ds="http://schemas.openxmlformats.org/officeDocument/2006/customXml" ds:itemID="{D44FEEA8-96F8-481A-B66E-44D4217E4E9F}">
  <ds:schemaRefs/>
</ds:datastoreItem>
</file>

<file path=customXml/itemProps5.xml><?xml version="1.0" encoding="utf-8"?>
<ds:datastoreItem xmlns:ds="http://schemas.openxmlformats.org/officeDocument/2006/customXml" ds:itemID="{A536A723-EF04-4727-AB1C-23694AF57DBD}">
  <ds:schemaRefs/>
</ds:datastoreItem>
</file>

<file path=customXml/itemProps6.xml><?xml version="1.0" encoding="utf-8"?>
<ds:datastoreItem xmlns:ds="http://schemas.openxmlformats.org/officeDocument/2006/customXml" ds:itemID="{7C5731DA-956B-4334-8099-D500CC7D1C8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TOC</vt:lpstr>
      <vt:lpstr>1. Datos Personales</vt:lpstr>
      <vt:lpstr>2. Ingresos</vt:lpstr>
      <vt:lpstr>3. Gastos</vt:lpstr>
      <vt:lpstr>4. Ahorro</vt:lpstr>
      <vt:lpstr>5. Ahorro Específico</vt:lpstr>
      <vt:lpstr>6. Estrategias por Edad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Alberto Elizalde</cp:lastModifiedBy>
  <dcterms:created xsi:type="dcterms:W3CDTF">2026-03-29T18:41:12Z</dcterms:created>
  <dcterms:modified xsi:type="dcterms:W3CDTF">2026-04-10T21:13:09Z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rmulaDeskUniqueName">
    <vt:lpwstr>279113ad-8b06-40a8-b0f1-6efead81acb8</vt:lpwstr>
  </property>
  <property fmtid="{D5CDD505-2E9C-101B-9397-08002B2CF9AE}" pid="3" name="FDN_TrackedSheets">
    <vt:lpwstr>{15AB9570-47E1-4EFA-95F4-1CE4C193BD86}</vt:lpwstr>
  </property>
  <property fmtid="{D5CDD505-2E9C-101B-9397-08002B2CF9AE}" pid="4" name="FDN_Tags">
    <vt:lpwstr>{7F361605-E543-4A20-BB0E-B6509757FE07}</vt:lpwstr>
  </property>
  <property fmtid="{D5CDD505-2E9C-101B-9397-08002B2CF9AE}" pid="5" name="FDN_State">
    <vt:lpwstr>{CF779E93-0E93-4991-8322-614C3C1C7F37}</vt:lpwstr>
  </property>
  <property fmtid="{D5CDD505-2E9C-101B-9397-08002B2CF9AE}" pid="6" name="FDN_Bookmarks">
    <vt:lpwstr>{D44FEEA8-96F8-481A-B66E-44D4217E4E9F}</vt:lpwstr>
  </property>
  <property fmtid="{D5CDD505-2E9C-101B-9397-08002B2CF9AE}" pid="7" name="FDN_BookmarkedExcelObjects">
    <vt:lpwstr>{A536A723-EF04-4727-AB1C-23694AF57DBD}</vt:lpwstr>
  </property>
  <property fmtid="{D5CDD505-2E9C-101B-9397-08002B2CF9AE}" pid="8" name="FDN_BookmarkTags">
    <vt:lpwstr>{7C5731DA-956B-4334-8099-D500CC7D1C81}</vt:lpwstr>
  </property>
</Properties>
</file>